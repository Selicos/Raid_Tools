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GIT\Raid_Tools\"/>
    </mc:Choice>
  </mc:AlternateContent>
  <xr:revisionPtr revIDLastSave="0" documentId="8_{D0D11DEB-B4FC-4C94-808E-79201832E84E}" xr6:coauthVersionLast="47" xr6:coauthVersionMax="47" xr10:uidLastSave="{00000000-0000-0000-0000-000000000000}"/>
  <bookViews>
    <workbookView xWindow="51480" yWindow="-120" windowWidth="38640" windowHeight="21240" activeTab="1" xr2:uid="{4A54C090-8BF4-4BD6-A491-12E085D3BC3B}"/>
  </bookViews>
  <sheets>
    <sheet name="Sheet1" sheetId="1" r:id="rId1"/>
    <sheet name="Working Teams" sheetId="3" r:id="rId2"/>
    <sheet name="Sheet2" sheetId="2" r:id="rId3"/>
  </sheets>
  <calcPr calcId="18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0" i="3" l="1"/>
  <c r="L38" i="3"/>
  <c r="L39" i="3"/>
  <c r="L41" i="3"/>
  <c r="L42" i="3"/>
  <c r="K42" i="3"/>
  <c r="K38" i="3"/>
  <c r="K40" i="3"/>
  <c r="K39" i="3"/>
  <c r="K41" i="3"/>
  <c r="I42" i="3"/>
  <c r="I41" i="3"/>
  <c r="I40" i="3"/>
  <c r="I38" i="3"/>
  <c r="I39" i="3"/>
  <c r="J39" i="3" s="1"/>
  <c r="J38" i="3"/>
  <c r="J41" i="3"/>
  <c r="J40" i="3"/>
  <c r="J42" i="3"/>
  <c r="J8" i="3"/>
  <c r="J28" i="3"/>
  <c r="J29" i="3"/>
  <c r="J31" i="3"/>
  <c r="J30" i="3"/>
  <c r="J32" i="3"/>
  <c r="J18" i="3"/>
  <c r="J19" i="3"/>
  <c r="J20" i="3"/>
  <c r="J21" i="3"/>
  <c r="J22" i="3"/>
  <c r="J9" i="3"/>
  <c r="J10" i="3"/>
  <c r="J11" i="3"/>
  <c r="J12" i="3"/>
</calcChain>
</file>

<file path=xl/sharedStrings.xml><?xml version="1.0" encoding="utf-8"?>
<sst xmlns="http://schemas.openxmlformats.org/spreadsheetml/2006/main" count="488" uniqueCount="185">
  <si>
    <t>Champ</t>
  </si>
  <si>
    <t>Speed</t>
  </si>
  <si>
    <t>aura</t>
  </si>
  <si>
    <t>Turn2</t>
  </si>
  <si>
    <t>Notes</t>
  </si>
  <si>
    <t>ext?</t>
  </si>
  <si>
    <t>Kalvalax</t>
  </si>
  <si>
    <t>Elenaril</t>
  </si>
  <si>
    <t>Bad El Kazar</t>
  </si>
  <si>
    <t>Narma</t>
  </si>
  <si>
    <t>Dark Kael</t>
  </si>
  <si>
    <t>Turn1</t>
  </si>
  <si>
    <t>n</t>
  </si>
  <si>
    <t>Order</t>
  </si>
  <si>
    <t>4x2</t>
  </si>
  <si>
    <t>P Count</t>
  </si>
  <si>
    <t>Poison applied</t>
  </si>
  <si>
    <t>+1</t>
  </si>
  <si>
    <t>A2 (2x2)</t>
  </si>
  <si>
    <t>-</t>
  </si>
  <si>
    <t>+Cont Heal</t>
  </si>
  <si>
    <t>+ Poison Sensitivity</t>
  </si>
  <si>
    <t>Round start, places 4x2 5% poisons</t>
  </si>
  <si>
    <t>A3 (3x2)</t>
  </si>
  <si>
    <t>4x2 Start</t>
  </si>
  <si>
    <t>Nuke damage to boss, 50% +1 poison</t>
  </si>
  <si>
    <t>A3 Nuke</t>
  </si>
  <si>
    <t>9x2+PS</t>
  </si>
  <si>
    <t>9x3+PS</t>
  </si>
  <si>
    <t>A3 (PE)</t>
  </si>
  <si>
    <t>Fastest (set poisons, narma A2 activates) or slowest (explosion)</t>
  </si>
  <si>
    <t>6x2+PS</t>
  </si>
  <si>
    <t>A2 (+1 db)</t>
  </si>
  <si>
    <t>New</t>
  </si>
  <si>
    <t>Aniri</t>
  </si>
  <si>
    <t>Column1</t>
  </si>
  <si>
    <t>Column2</t>
  </si>
  <si>
    <t>Column3</t>
  </si>
  <si>
    <t>Column4</t>
  </si>
  <si>
    <t>Column5</t>
  </si>
  <si>
    <t>7x2+PS</t>
  </si>
  <si>
    <t>Artak</t>
  </si>
  <si>
    <t>T1</t>
  </si>
  <si>
    <t>PxD+Debuff</t>
  </si>
  <si>
    <t>T2</t>
  </si>
  <si>
    <t>A3</t>
  </si>
  <si>
    <t>A1</t>
  </si>
  <si>
    <t>A2</t>
  </si>
  <si>
    <t>Leonardo</t>
  </si>
  <si>
    <t>Michelangelo</t>
  </si>
  <si>
    <t>Brogni</t>
  </si>
  <si>
    <t>Ninja</t>
  </si>
  <si>
    <t>Column6</t>
  </si>
  <si>
    <t>DEF</t>
  </si>
  <si>
    <t>too fast, starts lapping leo and borgni</t>
  </si>
  <si>
    <t xml:space="preserve">needs </t>
  </si>
  <si>
    <t>Need to be tighter on speeds, like 266-275. Or aniri needs to drop to 270, brogni to 268, then better timings</t>
  </si>
  <si>
    <t>Geo</t>
  </si>
  <si>
    <t>HP</t>
  </si>
  <si>
    <t>BEK</t>
  </si>
  <si>
    <t>74.4k</t>
  </si>
  <si>
    <t>77k</t>
  </si>
  <si>
    <t>74.7k</t>
  </si>
  <si>
    <t>97.1k</t>
  </si>
  <si>
    <t>64k</t>
  </si>
  <si>
    <t>Buffs</t>
  </si>
  <si>
    <t>Turn 1</t>
  </si>
  <si>
    <t>A2 Buffs</t>
  </si>
  <si>
    <t>A3 Shield+</t>
  </si>
  <si>
    <t>A2 +shield</t>
  </si>
  <si>
    <t>T3</t>
  </si>
  <si>
    <t>A3 +poison +PS</t>
  </si>
  <si>
    <t>A2 trigger poison/etc</t>
  </si>
  <si>
    <t>A4</t>
  </si>
  <si>
    <t>NOTES</t>
  </si>
  <si>
    <t xml:space="preserve">Acc is low, so HP burn does not overwrite Geomancer. Limits </t>
  </si>
  <si>
    <t>A3 HP Burn, weaken</t>
  </si>
  <si>
    <t>A1 heal</t>
  </si>
  <si>
    <t>99% here for buff ext and revive when desynced</t>
  </si>
  <si>
    <t>A2 (A1?)</t>
  </si>
  <si>
    <t xml:space="preserve">Sometimes need to use A1 over A3 to extrend poisons, combo into A2. </t>
  </si>
  <si>
    <t>A2 Buff ext, heal, remove boss inc attack</t>
  </si>
  <si>
    <t>T4</t>
  </si>
  <si>
    <t>Valkyrie</t>
  </si>
  <si>
    <t>FB/Quintus/Taras/etc</t>
  </si>
  <si>
    <t>NA</t>
  </si>
  <si>
    <t>Hierophant Lazarius</t>
  </si>
  <si>
    <t>Underpriest Brogni</t>
  </si>
  <si>
    <t>\+25% speed</t>
  </si>
  <si>
    <t>\+70 ACC</t>
  </si>
  <si>
    <t>A3 Dec Attack+Leech, S2 Dec Def, Good A1. 
STUN TARGET w/ Taunt but risk of losing Dec. Attack in desync</t>
  </si>
  <si>
    <r>
      <t xml:space="preserve">A3/A2/A1 cycle unless no shields to grow with A1 and need Hp burn
A3 before boss turn. A2  before too, but can be used after to grow shields back (not ideal for 4:3)
A3 block debuff is only 2 turns, may need manual timing
</t>
    </r>
    <r>
      <rPr>
        <b/>
        <sz val="11"/>
        <color theme="1"/>
        <rFont val="Calibri"/>
        <family val="2"/>
        <scheme val="minor"/>
      </rPr>
      <t>Confirm mastery for passive bonus damage</t>
    </r>
  </si>
  <si>
    <t>A2: CA (2 turns, 4 turn CD), Shield (DEF)
Cycle shields with Brogni with CA for boss A2 and A3</t>
  </si>
  <si>
    <t>4k+</t>
  </si>
  <si>
    <t>4k+ (6k+ attack)</t>
  </si>
  <si>
    <t>80k+</t>
  </si>
  <si>
    <t>4k+ (High attack too)</t>
  </si>
  <si>
    <t>5-6k+ (Def based)</t>
  </si>
  <si>
    <t>191-199</t>
  </si>
  <si>
    <t>First form only unless you know better. No A3, passive for revive.
May be best for Arena if this value can be found in other champs + Valk and Brogni
Cycling forms for turns could be lots of regen with gear sets that heal, within speed tune to get back to 1st form for next CA cycle</t>
  </si>
  <si>
    <t>Bad-El-Kazar</t>
  </si>
  <si>
    <t>A2/A1 pick for higher damage</t>
  </si>
  <si>
    <t>Hotatsu</t>
  </si>
  <si>
    <t>A2 Dec Att</t>
  </si>
  <si>
    <t>A3 Inc Def + 1x Cont heal</t>
  </si>
  <si>
    <t>A1 Leech</t>
  </si>
  <si>
    <t>65.2k</t>
  </si>
  <si>
    <t>OR</t>
  </si>
  <si>
    <t>Def 25%</t>
  </si>
  <si>
    <t>HP 25%</t>
  </si>
  <si>
    <t>DEF 33%</t>
  </si>
  <si>
    <t>Aura +HP</t>
  </si>
  <si>
    <t>Aura +DEF</t>
  </si>
  <si>
    <t>Eff HP</t>
  </si>
  <si>
    <t>Eff Def</t>
  </si>
  <si>
    <t>68mil team:</t>
  </si>
  <si>
    <t>geo</t>
  </si>
  <si>
    <t>hotatsu</t>
  </si>
  <si>
    <t>brogni</t>
  </si>
  <si>
    <t>aniri</t>
  </si>
  <si>
    <t>a3</t>
  </si>
  <si>
    <t>a1</t>
  </si>
  <si>
    <t>a2</t>
  </si>
  <si>
    <t>START</t>
  </si>
  <si>
    <t>narma*</t>
  </si>
  <si>
    <t>CB turn moves up once champ per cycle. May need to slightly increase speeds across the board</t>
  </si>
  <si>
    <t>CB Next</t>
  </si>
  <si>
    <t>Narma muist start with A2 to keep dec attack up consistently, or reset with A2 first like above</t>
  </si>
  <si>
    <t>Narma plays A2 vs A3 from then on as strategic.</t>
  </si>
  <si>
    <t>Narma should do A3 then A1 only if CB will not go between her turns, and lower poison counts. Then A1 can increase, and A2 can explode more stacks</t>
  </si>
  <si>
    <t>OR A3 then A2 if not on cooldown by then to explode the placed 9x poisons</t>
  </si>
  <si>
    <t>then hope for stacks form boss A2 or A3</t>
  </si>
  <si>
    <t>CB 47</t>
  </si>
  <si>
    <t>Rector Drath</t>
  </si>
  <si>
    <t>Fayne</t>
  </si>
  <si>
    <t>fenshi</t>
  </si>
  <si>
    <t>Septimus</t>
  </si>
  <si>
    <t>Nethril</t>
  </si>
  <si>
    <t>Blizaar</t>
  </si>
  <si>
    <t>Use for freeze ex hard FK</t>
  </si>
  <si>
    <t>poison</t>
  </si>
  <si>
    <t>revive</t>
  </si>
  <si>
    <t>Nuke</t>
  </si>
  <si>
    <t>support</t>
  </si>
  <si>
    <t>toragi the frog</t>
  </si>
  <si>
    <t>A1 good for CA team. That's all</t>
  </si>
  <si>
    <t>A1 places poisons</t>
  </si>
  <si>
    <t>Role</t>
  </si>
  <si>
    <t>CA?</t>
  </si>
  <si>
    <t>HP based dmg, Inc debuff duration, Inc damage to high hp boss</t>
  </si>
  <si>
    <t>No</t>
  </si>
  <si>
    <t>A1 dec attack, A2 heal/cont heal and veil chance, A3 revive, passive healing</t>
  </si>
  <si>
    <t>YES</t>
  </si>
  <si>
    <t>A1 dec attack, A2 can't provoke cb, A3 excellent w/ brogni</t>
  </si>
  <si>
    <t>No, use toragi</t>
  </si>
  <si>
    <t>A1 leech, A2 Dec attack, A3 inc def and Cont heal</t>
  </si>
  <si>
    <t>A1 can't dec cb speed, A2</t>
  </si>
  <si>
    <t>remove stun, incr def, ally protect (all good support), opassive self revive</t>
  </si>
  <si>
    <t>jareg for hotatsu?</t>
  </si>
  <si>
    <t>273 speed</t>
  </si>
  <si>
    <t>ALT</t>
  </si>
  <si>
    <t>Wythir</t>
  </si>
  <si>
    <t>Elva</t>
  </si>
  <si>
    <t>SP 19%</t>
  </si>
  <si>
    <t>Kael</t>
  </si>
  <si>
    <t>Aura +SP</t>
  </si>
  <si>
    <t>Eff SP</t>
  </si>
  <si>
    <t>HPk</t>
  </si>
  <si>
    <t>Base SPD</t>
  </si>
  <si>
    <t xml:space="preserve">Narma </t>
  </si>
  <si>
    <t>Arbiter</t>
  </si>
  <si>
    <t>DK</t>
  </si>
  <si>
    <t>?</t>
  </si>
  <si>
    <t>A2?</t>
  </si>
  <si>
    <t>Attack mikey</t>
  </si>
  <si>
    <t>Mikey</t>
  </si>
  <si>
    <t>boss</t>
  </si>
  <si>
    <t>debuff</t>
  </si>
  <si>
    <t>Activate</t>
  </si>
  <si>
    <t>Poison</t>
  </si>
  <si>
    <t>Wait</t>
  </si>
  <si>
    <t>Posion</t>
  </si>
  <si>
    <t>Poison cleanse</t>
  </si>
  <si>
    <t>Aniria</t>
  </si>
  <si>
    <t>Mithrala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</si>
</sst>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10">
    <fill>
      <patternFill patternType="none"/>
    </fill>
    <fill>
      <patternFill patternType="gray125"/>
    </fill>
    <fill>
      <patternFill patternType="solid">
        <fgColor theme="1"/>
        <bgColor theme="1"/>
      </patternFill>
    </fill>
    <fill>
      <patternFill patternType="solid">
        <fgColor theme="9"/>
        <bgColor indexed="64"/>
      </patternFill>
    </fill>
    <fill>
      <patternFill patternType="solid">
        <fgColor rgb="FF00B0F0"/>
        <bgColor indexed="64"/>
      </patternFill>
    </fill>
    <fill>
      <patternFill patternType="solid">
        <fgColor rgb="FF9E5ECE"/>
        <bgColor indexed="64"/>
      </patternFill>
    </fill>
    <fill>
      <patternFill patternType="solid">
        <fgColor theme="2"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5">
    <border>
      <left/>
      <right/>
      <top/>
      <bottom/>
      <diagonal/>
    </border>
    <border>
      <left/>
      <right/>
      <top style="thin">
        <color theme="1"/>
      </top>
      <bottom/>
      <diagonal/>
    </border>
    <border>
      <left style="thin">
        <color theme="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0" fillId="0" borderId="0" xfId="0" applyNumberFormat="1"/>
    <xf numFmtId="0" fontId="0" fillId="0" borderId="1" xfId="0" applyFont="1" applyBorder="1"/>
    <xf numFmtId="49" fontId="0" fillId="0" borderId="1" xfId="0" applyNumberFormat="1" applyFont="1" applyBorder="1"/>
    <xf numFmtId="0" fontId="1" fillId="2" borderId="0" xfId="0" applyFont="1" applyFill="1" applyBorder="1"/>
    <xf numFmtId="0" fontId="0" fillId="0" borderId="1" xfId="0" applyBorder="1"/>
    <xf numFmtId="0" fontId="0" fillId="0" borderId="1" xfId="0" applyFont="1" applyFill="1" applyBorder="1"/>
    <xf numFmtId="0" fontId="0" fillId="0" borderId="2" xfId="0" applyFont="1" applyBorder="1"/>
    <xf numFmtId="0" fontId="0" fillId="0" borderId="0" xfId="0" applyFont="1" applyBorder="1"/>
    <xf numFmtId="0" fontId="0" fillId="0" borderId="1" xfId="0" applyFont="1" applyBorder="1" applyAlignment="1">
      <alignment wrapText="1"/>
    </xf>
    <xf numFmtId="49" fontId="0" fillId="0" borderId="1" xfId="0" applyNumberFormat="1" applyFont="1" applyBorder="1" applyAlignment="1">
      <alignment wrapText="1"/>
    </xf>
    <xf numFmtId="0" fontId="2" fillId="0" borderId="1" xfId="0" applyFont="1" applyBorder="1"/>
    <xf numFmtId="0" fontId="3" fillId="2" borderId="0" xfId="0" applyFont="1" applyFill="1" applyBorder="1"/>
    <xf numFmtId="0" fontId="2" fillId="3" borderId="1" xfId="0" applyFont="1" applyFill="1" applyBorder="1"/>
    <xf numFmtId="0" fontId="0" fillId="4" borderId="0" xfId="0" applyFill="1"/>
    <xf numFmtId="0" fontId="0" fillId="5" borderId="0" xfId="0" applyFill="1"/>
    <xf numFmtId="0" fontId="0" fillId="6" borderId="0" xfId="0" applyFill="1"/>
    <xf numFmtId="0" fontId="0" fillId="7" borderId="0" xfId="0" applyFill="1"/>
    <xf numFmtId="0" fontId="0" fillId="3" borderId="0" xfId="0" applyFill="1"/>
    <xf numFmtId="0" fontId="0" fillId="0" borderId="3" xfId="0" applyBorder="1"/>
    <xf numFmtId="0" fontId="0" fillId="0" borderId="4" xfId="0" applyBorder="1"/>
    <xf numFmtId="0" fontId="2" fillId="0" borderId="4" xfId="0" applyFont="1" applyBorder="1"/>
    <xf numFmtId="1" fontId="2" fillId="0" borderId="1" xfId="0" applyNumberFormat="1" applyFont="1" applyBorder="1"/>
    <xf numFmtId="0" fontId="2" fillId="3" borderId="0" xfId="0" applyFont="1" applyFill="1" applyBorder="1"/>
    <xf numFmtId="0" fontId="0" fillId="8" borderId="1" xfId="0" applyFont="1" applyFill="1" applyBorder="1"/>
    <xf numFmtId="0" fontId="0" fillId="9" borderId="1" xfId="0" applyFont="1" applyFill="1" applyBorder="1"/>
  </cellXfs>
  <cellStyles count="1">
    <cellStyle name="Normal" xfId="0" builtinId="0"/>
  </cellStyles>
  <dxfs count="131">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i val="0"/>
        <strike val="0"/>
        <condense val="0"/>
        <extend val="0"/>
        <outline val="0"/>
        <shadow val="0"/>
        <u val="none"/>
        <vertAlign val="baseline"/>
        <sz val="11"/>
        <color theme="0"/>
        <name val="Calibri"/>
        <family val="2"/>
        <scheme val="minor"/>
      </font>
      <fill>
        <patternFill patternType="solid">
          <fgColor theme="1"/>
          <bgColor theme="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numFmt numFmtId="30" formatCode="@"/>
    </dxf>
  </dxfs>
  <tableStyles count="0" defaultTableStyle="TableStyleMedium2" defaultPivotStyle="PivotStyleLight16"/>
  <colors>
    <mruColors>
      <color rgb="FF9E5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A5F978-9F67-47A6-BD10-5AF020B0F2FE}" name="Table1" displayName="Table1" ref="A2:J8" totalsRowShown="0">
  <autoFilter ref="A2:J8" xr:uid="{AAA5F978-9F67-47A6-BD10-5AF020B0F2FE}"/>
  <sortState xmlns:xlrd2="http://schemas.microsoft.com/office/spreadsheetml/2017/richdata2" ref="A3:J8">
    <sortCondition descending="1" ref="D2:D8"/>
  </sortState>
  <tableColumns count="10">
    <tableColumn id="1" xr3:uid="{40015B43-E124-464D-AF2B-D92C66874B16}" name="Order"/>
    <tableColumn id="2" xr3:uid="{F819A157-7291-4232-A994-C41927C369D9}" name="Champ"/>
    <tableColumn id="3" xr3:uid="{016E41C2-BD92-4A95-B611-20E3B16F0C19}" name="aura"/>
    <tableColumn id="4" xr3:uid="{80EC2896-C8EA-47B9-8D2B-BAFEF1068A95}" name="Speed"/>
    <tableColumn id="5" xr3:uid="{14C5AC24-4EFB-40B8-83A2-7FC116E80C8F}" name="Turn1"/>
    <tableColumn id="6" xr3:uid="{55AB8C96-8627-4A80-8557-C9B79DEA2931}" name="P Count"/>
    <tableColumn id="7" xr3:uid="{A8F2BA0A-991A-4529-82F0-7A596B388C2C}" name="Turn2"/>
    <tableColumn id="8" xr3:uid="{78F4A952-413F-4C95-AF0C-6716C16DF2AE}" name="Poison applied"/>
    <tableColumn id="9" xr3:uid="{BB4F169C-7DA7-4500-9A65-AC83ACAF8424}" name="ext?"/>
    <tableColumn id="10" xr3:uid="{F945128B-9C54-4625-8C18-F2E376145EE9}" name="Notes" dataDxfId="13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65CB2F-73E4-44FA-A84A-9EFDEA2FE508}" name="Table2" displayName="Table2" ref="A13:J19" totalsRowShown="0" headerRowDxfId="117" dataDxfId="118" tableBorderDxfId="129">
  <autoFilter ref="A13:J19" xr:uid="{6265CB2F-73E4-44FA-A84A-9EFDEA2FE508}"/>
  <sortState xmlns:xlrd2="http://schemas.microsoft.com/office/spreadsheetml/2017/richdata2" ref="A14:J19">
    <sortCondition descending="1" ref="D13:D19"/>
  </sortState>
  <tableColumns count="10">
    <tableColumn id="1" xr3:uid="{DC313785-7E2F-4802-94F2-10BCD2FB483C}" name="Order" dataDxfId="128"/>
    <tableColumn id="2" xr3:uid="{69DB7481-45E5-4AB7-A6D0-E81CA49E4960}" name="Champ" dataDxfId="127"/>
    <tableColumn id="3" xr3:uid="{69787A08-6BA0-4FD8-B1D7-8CD3D5330BB5}" name="aura" dataDxfId="126"/>
    <tableColumn id="4" xr3:uid="{00637DCE-AEFA-410E-BD53-218C2AFEABAB}" name="Speed" dataDxfId="125"/>
    <tableColumn id="5" xr3:uid="{5526C400-9D87-4A85-9F78-CBD747EF62BF}" name="T1" dataDxfId="124"/>
    <tableColumn id="6" xr3:uid="{711034DC-5509-458F-8D50-89E046521015}" name="PxD+Debuff" dataDxfId="123"/>
    <tableColumn id="7" xr3:uid="{7B59DE79-1F1F-4228-8063-95DADC7D6131}" name="T2" dataDxfId="122"/>
    <tableColumn id="8" xr3:uid="{A3FE35D9-2F49-41FA-8640-025980F75373}" name="Column4" dataDxfId="121"/>
    <tableColumn id="9" xr3:uid="{55F80833-0A5B-48B8-BAE8-03DF3DF50EC0}" name="Column5" dataDxfId="120"/>
    <tableColumn id="10" xr3:uid="{55560B88-9F83-4C1F-AD03-85582B1A8E93}" name="Notes" dataDxfId="11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E04D88-59B6-4C98-BE63-108F6DA6C29A}" name="Table24" displayName="Table24" ref="A24:J29" totalsRowShown="0" headerRowDxfId="116" dataDxfId="115" tableBorderDxfId="114">
  <autoFilter ref="A24:J29" xr:uid="{02E04D88-59B6-4C98-BE63-108F6DA6C29A}"/>
  <sortState xmlns:xlrd2="http://schemas.microsoft.com/office/spreadsheetml/2017/richdata2" ref="A25:J29">
    <sortCondition descending="1" ref="D24:D29"/>
  </sortState>
  <tableColumns count="10">
    <tableColumn id="1" xr3:uid="{53C9FADA-268B-4D2F-BE8D-EE3A03E6BCEF}" name="Order" dataDxfId="113"/>
    <tableColumn id="2" xr3:uid="{382937D1-0A58-42F3-AE0D-22B37043BDAB}" name="Champ" dataDxfId="112"/>
    <tableColumn id="3" xr3:uid="{C1AB3FBC-A7FE-4E8C-9A26-0D384EAF3462}" name="aura" dataDxfId="111"/>
    <tableColumn id="4" xr3:uid="{41A221C7-630E-4E8D-BF0B-B1D599B30810}" name="Speed" dataDxfId="110"/>
    <tableColumn id="5" xr3:uid="{6106A477-EBB5-449C-9FED-8B4F0FF2EB04}" name="Column6" dataDxfId="109"/>
    <tableColumn id="6" xr3:uid="{42360B9B-0595-4876-85A9-5CCC5C308416}" name="Column1" dataDxfId="108"/>
    <tableColumn id="7" xr3:uid="{8EDEC500-BAD9-471C-A4CA-2EC90D684F7B}" name="Column2" dataDxfId="107"/>
    <tableColumn id="8" xr3:uid="{16ADB842-4E1D-45B2-8922-B16BE8E795BB}" name="Column3" dataDxfId="106"/>
    <tableColumn id="9" xr3:uid="{1AF5D874-D012-4D4C-B3B8-90A62A7EB86F}" name="Column4" dataDxfId="105"/>
    <tableColumn id="10" xr3:uid="{08E2CB60-2782-45CA-8CB1-173F120B71A1}" name="Column5" dataDxfId="10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300B3D-7F0E-4C85-A27F-2A4F285A7D80}" name="Table245" displayName="Table245" ref="A33:K38" totalsRowShown="0" headerRowDxfId="103" dataDxfId="102" tableBorderDxfId="101">
  <autoFilter ref="A33:K38" xr:uid="{A0300B3D-7F0E-4C85-A27F-2A4F285A7D80}"/>
  <sortState xmlns:xlrd2="http://schemas.microsoft.com/office/spreadsheetml/2017/richdata2" ref="A34:K38">
    <sortCondition descending="1" ref="D33:D38"/>
  </sortState>
  <tableColumns count="11">
    <tableColumn id="1" xr3:uid="{E368D4FE-EE6B-4D6B-A78F-7C2D75456380}" name="Order" dataDxfId="100"/>
    <tableColumn id="2" xr3:uid="{94618718-8DEC-46D1-9CFF-B80736BAFED6}" name="Champ" dataDxfId="99"/>
    <tableColumn id="3" xr3:uid="{7BB9A636-9E6E-4F59-A474-8DEEB02A1675}" name="aura" dataDxfId="98"/>
    <tableColumn id="4" xr3:uid="{A9788B32-8AD9-4DA0-9E8E-AEDEF292A19A}" name="Speed" dataDxfId="97"/>
    <tableColumn id="11" xr3:uid="{C53E6F87-EB9A-4F10-85D1-92EFD3AD1789}" name="HP" dataDxfId="90"/>
    <tableColumn id="5" xr3:uid="{90984B1D-A694-44F9-8371-E66E6E53AA92}" name="DEF" dataDxfId="96"/>
    <tableColumn id="6" xr3:uid="{000CFBA5-81FD-4F00-A0DE-DD382F8AD856}" name="Turn 1" dataDxfId="95"/>
    <tableColumn id="7" xr3:uid="{CDC1F379-222D-4D4E-A5D3-DBE6A93095A9}" name="T2" dataDxfId="94"/>
    <tableColumn id="8" xr3:uid="{16C23E78-B1A0-417B-805D-8E8C0638918C}" name="T3" dataDxfId="93"/>
    <tableColumn id="9" xr3:uid="{184863F7-1F6E-4638-B823-05D60C9058B6}" name="NOTES" dataDxfId="92"/>
    <tableColumn id="10" xr3:uid="{D8C64081-77A7-4E42-BF4F-3BBE1805D9B0}" name="Column5" dataDxfId="9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541C65-5770-4936-B31F-9A2FF9560EB5}" name="Table7" displayName="Table7" ref="C17:N22" totalsRowShown="0" headerRowDxfId="67" dataDxfId="68" tableBorderDxfId="75">
  <autoFilter ref="C17:N22" xr:uid="{1F541C65-5770-4936-B31F-9A2FF9560EB5}"/>
  <sortState xmlns:xlrd2="http://schemas.microsoft.com/office/spreadsheetml/2017/richdata2" ref="C18:N22">
    <sortCondition descending="1" ref="F17:F22"/>
  </sortState>
  <tableColumns count="12">
    <tableColumn id="1" xr3:uid="{6E271FF3-DE39-4D52-8911-D3D52075C796}" name="Order" dataDxfId="74"/>
    <tableColumn id="2" xr3:uid="{ED4E8748-0DD9-465B-B19B-CC484353AEA6}" name="Champ" dataDxfId="73"/>
    <tableColumn id="3" xr3:uid="{0686AB75-0F08-4263-A824-93E825E0E1BB}" name="aura" dataDxfId="72"/>
    <tableColumn id="4" xr3:uid="{08AAC31C-7BAB-4299-91C3-DDCAD19C3E3C}" name="Speed" dataDxfId="57"/>
    <tableColumn id="5" xr3:uid="{83B65BBE-0A77-4343-A24C-E07234A1609E}" name="HP" dataDxfId="55"/>
    <tableColumn id="6" xr3:uid="{15F4C4D1-4FAE-44F0-9B9E-F2BCBA0B5EA1}" name="DEF" dataDxfId="56"/>
    <tableColumn id="11" xr3:uid="{DA0ED670-65BA-4FD3-B4A0-57862F1C00A3}" name="Aura +DEF" dataDxfId="54"/>
    <tableColumn id="12" xr3:uid="{4E7E1039-77AD-4DF4-9095-319AB77AC563}" name="Eff Def" dataDxfId="52">
      <calculatedColumnFormula>Table7[[#This Row],[DEF]]+Table7[[#This Row],[Aura +DEF]]</calculatedColumnFormula>
    </tableColumn>
    <tableColumn id="7" xr3:uid="{1153CD6E-8FEE-4CD9-920D-7CECA7245275}" name="Turn 1" dataDxfId="53"/>
    <tableColumn id="8" xr3:uid="{A6E95AA1-A126-4D20-A3BC-26CCE002E2F5}" name="T2" dataDxfId="71"/>
    <tableColumn id="9" xr3:uid="{0EF7F3CA-9029-44AA-BE94-8FBC22079736}" name="T3" dataDxfId="70"/>
    <tableColumn id="10" xr3:uid="{23306BB0-2D75-4D38-9E38-58E960A5C963}" name="NOTES" dataDxfId="69"/>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925C36-1425-447C-BDE6-6A7181D3B88E}" name="Table79" displayName="Table79" ref="C27:N32" totalsRowShown="0" headerRowDxfId="45" dataDxfId="44" tableBorderDxfId="43">
  <autoFilter ref="C27:N32" xr:uid="{E4925C36-1425-447C-BDE6-6A7181D3B88E}"/>
  <sortState xmlns:xlrd2="http://schemas.microsoft.com/office/spreadsheetml/2017/richdata2" ref="C28:N32">
    <sortCondition descending="1" ref="F27:F32"/>
  </sortState>
  <tableColumns count="12">
    <tableColumn id="1" xr3:uid="{95CD43BC-9991-4C6D-B7D6-A0DB297A5E42}" name="Order" dataDxfId="42"/>
    <tableColumn id="2" xr3:uid="{6A20C44D-3F9B-4134-B049-B4C4A01CD50E}" name="Champ" dataDxfId="41"/>
    <tableColumn id="3" xr3:uid="{ABE3DD61-4BFD-4423-A3DB-4A17998B0BC7}" name="aura" dataDxfId="40"/>
    <tableColumn id="4" xr3:uid="{A8AE55CA-8AFA-490D-BB99-AB0B7DAB7F0A}" name="Speed" dataDxfId="39"/>
    <tableColumn id="5" xr3:uid="{7F1A1FCE-23AC-4938-8457-706B37895E2B}" name="HP" dataDxfId="38"/>
    <tableColumn id="6" xr3:uid="{20DB5467-6CC0-43C4-BA54-517F45EC2481}" name="DEF" dataDxfId="37"/>
    <tableColumn id="11" xr3:uid="{6B8EAD99-BC79-49DE-8E41-1CAD8F2AA9C7}" name="Aura +DEF" dataDxfId="36"/>
    <tableColumn id="12" xr3:uid="{D75CA13D-9D66-4AE3-9A8F-E4D429818756}" name="Eff Def" dataDxfId="35">
      <calculatedColumnFormula>Table79[[#This Row],[DEF]]+Table79[[#This Row],[Aura +DEF]]</calculatedColumnFormula>
    </tableColumn>
    <tableColumn id="7" xr3:uid="{A04B8C99-7E47-463A-88B5-9D9C9E3A7569}" name="Turn 1" dataDxfId="34"/>
    <tableColumn id="8" xr3:uid="{6CA106BE-52C7-4853-8634-530013464425}" name="T2" dataDxfId="33"/>
    <tableColumn id="9" xr3:uid="{5828C82E-DA12-4529-AE88-0E9040253DAF}" name="T3" dataDxfId="32"/>
    <tableColumn id="10" xr3:uid="{6FA9E54D-3589-4F8F-B6B9-A84F7EE147A4}" name="NOTES" dataDxfId="3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1F861-B400-4EB0-8817-80EE5759E362}" name="Table9" displayName="Table9" ref="C7:N12" totalsRowShown="0" headerRowDxfId="58" dataDxfId="59" tableBorderDxfId="66">
  <autoFilter ref="C7:N12" xr:uid="{8361F861-B400-4EB0-8817-80EE5759E362}"/>
  <tableColumns count="12">
    <tableColumn id="1" xr3:uid="{40FDB129-E415-4E66-98C4-0150720EF107}" name="Order" dataDxfId="65"/>
    <tableColumn id="2" xr3:uid="{7C2E1BB4-A132-4189-966B-881BD3E879A2}" name="Champ" dataDxfId="64"/>
    <tableColumn id="3" xr3:uid="{53F3E63B-89B9-47F4-AF34-6B5D19EF642F}" name="aura" dataDxfId="63"/>
    <tableColumn id="4" xr3:uid="{D12F42CD-CB0C-4268-8E3F-6313AED360C2}" name="Speed" dataDxfId="49"/>
    <tableColumn id="5" xr3:uid="{413D7D50-A430-401B-A405-83D9B88CBC53}" name="HP" dataDxfId="48"/>
    <tableColumn id="6" xr3:uid="{3ACAAA57-B899-4B12-A496-454F83187B0D}" name="DEF" dataDxfId="46"/>
    <tableColumn id="11" xr3:uid="{B4A4EF3E-A9ED-4C97-A9BD-867A9CDFA386}" name="Aura +HP" dataDxfId="47"/>
    <tableColumn id="12" xr3:uid="{55D69032-EC75-4E7D-99FC-1339CFF0E224}" name="Eff HP" dataDxfId="50">
      <calculatedColumnFormula>Table9[[#This Row],[DEF]]+Table9[[#This Row],[Aura +HP]]</calculatedColumnFormula>
    </tableColumn>
    <tableColumn id="7" xr3:uid="{42B381B4-3545-4E48-9E97-082B19EF61AA}" name="Turn 1" dataDxfId="51"/>
    <tableColumn id="8" xr3:uid="{C05B18FE-37A3-47B3-91B1-237CC34E0AC7}" name="T2" dataDxfId="62"/>
    <tableColumn id="9" xr3:uid="{1139D9FC-E69C-41A1-BB96-581C5AD448B4}" name="T3" dataDxfId="61"/>
    <tableColumn id="10" xr3:uid="{BEE0B7E9-D3D0-438A-B181-8CEB49640B6B}" name="NOTES" dataDxfId="60"/>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4D2EE6-8F66-45A7-B3C4-0692A9A8FD9F}" name="Table7911" displayName="Table7911" ref="C37:P42" totalsRowShown="0" headerRowDxfId="30" dataDxfId="29" tableBorderDxfId="28">
  <autoFilter ref="C37:P42" xr:uid="{094D2EE6-8F66-45A7-B3C4-0692A9A8FD9F}"/>
  <sortState xmlns:xlrd2="http://schemas.microsoft.com/office/spreadsheetml/2017/richdata2" ref="C38:P42">
    <sortCondition descending="1" ref="F37:F42"/>
  </sortState>
  <tableColumns count="14">
    <tableColumn id="1" xr3:uid="{330A1202-65FB-4A2C-A3F8-35539560E2B5}" name="Order" dataDxfId="27"/>
    <tableColumn id="2" xr3:uid="{7CF87D6B-099D-4A2E-816D-8195C10CBB18}" name="Champ" dataDxfId="26"/>
    <tableColumn id="3" xr3:uid="{D16F13EC-236F-4B64-9B71-AC5F0BC89CC8}" name="aura" dataDxfId="25"/>
    <tableColumn id="4" xr3:uid="{E0DB9F52-1259-439B-82B0-191492AA4B51}" name="Base SPD" dataDxfId="16"/>
    <tableColumn id="5" xr3:uid="{5D3BFACA-F406-4DF5-8406-F14EE4EBAB0A}" name="HPk" dataDxfId="14"/>
    <tableColumn id="6" xr3:uid="{E5470852-9BE7-423F-A479-3F8162597983}" name="DEF" dataDxfId="15"/>
    <tableColumn id="11" xr3:uid="{473693DA-7A83-4D2C-B59C-B06F4FA8B268}" name="Aura +SP" dataDxfId="21">
      <calculatedColumnFormula>0.19*98</calculatedColumnFormula>
    </tableColumn>
    <tableColumn id="12" xr3:uid="{55D3E6BB-51B7-42D5-A648-DAC2F2A7DDBD}" name="Eff SP" dataDxfId="19">
      <calculatedColumnFormula>Table7911[[#This Row],[Base SPD]]+Table7911[[#This Row],[Aura +SP]]</calculatedColumnFormula>
    </tableColumn>
    <tableColumn id="13" xr3:uid="{2A0364FF-6D91-492A-AE84-30DBC9B04AFD}" name="Aura +HP" dataDxfId="17">
      <calculatedColumnFormula>0.25*16845</calculatedColumnFormula>
    </tableColumn>
    <tableColumn id="14" xr3:uid="{BBC0EC3A-1CB2-4A69-9777-AD1C81CFEF66}" name="Eff HP" dataDxfId="18">
      <calculatedColumnFormula>Table7911[[#This Row],[HPk]]+Table7911[[#This Row],[Aura +HP]]</calculatedColumnFormula>
    </tableColumn>
    <tableColumn id="7" xr3:uid="{7AEE1A38-F395-4755-9692-A133E32EA62D}" name="Turn 1" dataDxfId="20"/>
    <tableColumn id="8" xr3:uid="{8581C882-ADAC-471E-9F8E-9A3351C7B644}" name="T2" dataDxfId="24"/>
    <tableColumn id="9" xr3:uid="{58D0A004-839F-400B-B12E-19C7D2B43533}" name="T3" dataDxfId="23"/>
    <tableColumn id="10" xr3:uid="{44E25CB1-D112-4C55-B4BD-A888D6A695C1}" name="NOTES" dataDxfId="22"/>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646269-12B7-4F48-B42C-577EAD48F623}" name="Table11" displayName="Table11" ref="C45:M51" totalsRowShown="0" headerRowDxfId="0" dataDxfId="1" tableBorderDxfId="13">
  <autoFilter ref="C45:M51" xr:uid="{63646269-12B7-4F48-B42C-577EAD48F623}"/>
  <sortState xmlns:xlrd2="http://schemas.microsoft.com/office/spreadsheetml/2017/richdata2" ref="C46:M50">
    <sortCondition descending="1" ref="F45:F50"/>
  </sortState>
  <tableColumns count="11">
    <tableColumn id="1" xr3:uid="{AD767632-35F2-405E-B6D2-5F3C8A185B0A}" name="Order" dataDxfId="12"/>
    <tableColumn id="2" xr3:uid="{5A3C7ED4-85CD-4490-B06E-80908AA1145A}" name="Champ" dataDxfId="11"/>
    <tableColumn id="3" xr3:uid="{6AFC6436-BFBA-44E3-82F6-436267E15A74}" name="aura" dataDxfId="10"/>
    <tableColumn id="4" xr3:uid="{452815B2-BE67-4022-A673-88026898CE3B}" name="Speed" dataDxfId="9"/>
    <tableColumn id="5" xr3:uid="{49C0C338-0B8E-4E3B-967A-26C736EFE869}" name="HP" dataDxfId="8"/>
    <tableColumn id="6" xr3:uid="{9BBD5713-2EC9-4CE7-B2CB-0FFB0F659AF1}" name="DEF" dataDxfId="7"/>
    <tableColumn id="7" xr3:uid="{823DC8A7-2533-4D2A-9729-37E2F5FD8E55}" name="Aura +DEF" dataDxfId="6"/>
    <tableColumn id="8" xr3:uid="{656B1F4B-7395-4492-AC88-3A73894ECF0B}" name="Eff Def" dataDxfId="5"/>
    <tableColumn id="9" xr3:uid="{59A70492-D968-4467-B817-3C28D14057C3}" name="Turn 1" dataDxfId="4"/>
    <tableColumn id="10" xr3:uid="{37956331-7F4F-4F55-8D02-95F01860CDD8}" name="T2" dataDxfId="3"/>
    <tableColumn id="11" xr3:uid="{1C62F7CC-A110-4A5D-845B-6AA7F007798D}" name="T3" dataDxfId="2"/>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2D5D89-F402-4BC9-AF6A-C02D45B2DC31}" name="Table24567" displayName="Table24567" ref="A1:K6" totalsRowShown="0" headerRowDxfId="89" dataDxfId="88" tableBorderDxfId="87">
  <autoFilter ref="A1:K6" xr:uid="{342D5D89-F402-4BC9-AF6A-C02D45B2DC31}"/>
  <sortState xmlns:xlrd2="http://schemas.microsoft.com/office/spreadsheetml/2017/richdata2" ref="A2:K6">
    <sortCondition descending="1" ref="D33:D38"/>
  </sortState>
  <tableColumns count="11">
    <tableColumn id="1" xr3:uid="{CDCE4F88-FCCB-4577-A228-679EC228FD09}" name="Order" dataDxfId="86"/>
    <tableColumn id="2" xr3:uid="{A346D0C2-4DDA-4AAB-B793-519D0D4A8088}" name="Champ" dataDxfId="85"/>
    <tableColumn id="3" xr3:uid="{4574AABF-CF86-4347-9B6C-1A55504E3837}" name="aura" dataDxfId="84"/>
    <tableColumn id="4" xr3:uid="{624553C6-C166-4F52-A386-6275EEB58ABD}" name="Speed" dataDxfId="83"/>
    <tableColumn id="11" xr3:uid="{1FE4E90F-53CE-422F-B888-A1D4FC8E2F0C}" name="HP" dataDxfId="82"/>
    <tableColumn id="5" xr3:uid="{62E88A7B-9F23-4E6F-94AA-B478DC7F6043}" name="DEF" dataDxfId="81"/>
    <tableColumn id="6" xr3:uid="{D635DC78-8E82-42ED-B35C-23B6E104D3AF}" name="Turn 1" dataDxfId="80"/>
    <tableColumn id="7" xr3:uid="{BA6E40FB-8D8C-4044-B564-58FAC8BAD4F9}" name="T2" dataDxfId="79"/>
    <tableColumn id="8" xr3:uid="{05EF405F-ACCE-4FC4-BCC4-30C71E949A42}" name="T3" dataDxfId="78"/>
    <tableColumn id="12" xr3:uid="{ED090560-E886-42F6-B5F7-4AFC8785B780}" name="T4" dataDxfId="77"/>
    <tableColumn id="9" xr3:uid="{4E0809A7-5DC2-4946-A9BD-388DCC38DC70}" name="NOTES" dataDxfId="7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2.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558F-BAB6-437B-B9EE-FF5926CDED68}">
  <dimension ref="A2:K51"/>
  <sheetViews>
    <sheetView workbookViewId="0">
      <selection activeCell="B41" sqref="B41"/>
    </sheetView>
  </sheetViews>
  <sheetFormatPr defaultRowHeight="15" x14ac:dyDescent="0.25"/>
  <cols>
    <col min="2" max="2" width="19.5703125" customWidth="1"/>
    <col min="3" max="3" width="12.28515625" bestFit="1" customWidth="1"/>
    <col min="4" max="4" width="17.5703125" customWidth="1"/>
    <col min="5" max="5" width="13.5703125" customWidth="1"/>
    <col min="6" max="6" width="13.85546875" bestFit="1" customWidth="1"/>
    <col min="7" max="7" width="37.42578125" bestFit="1" customWidth="1"/>
    <col min="8" max="8" width="19.85546875" bestFit="1" customWidth="1"/>
    <col min="9" max="9" width="11" customWidth="1"/>
    <col min="10" max="10" width="55.7109375" bestFit="1" customWidth="1"/>
    <col min="11" max="11" width="57.140625" bestFit="1" customWidth="1"/>
  </cols>
  <sheetData>
    <row r="2" spans="1:10" x14ac:dyDescent="0.25">
      <c r="A2" t="s">
        <v>13</v>
      </c>
      <c r="B2" t="s">
        <v>0</v>
      </c>
      <c r="C2" t="s">
        <v>2</v>
      </c>
      <c r="D2" t="s">
        <v>1</v>
      </c>
      <c r="E2" t="s">
        <v>11</v>
      </c>
      <c r="F2" t="s">
        <v>15</v>
      </c>
      <c r="G2" t="s">
        <v>3</v>
      </c>
      <c r="H2" t="s">
        <v>16</v>
      </c>
      <c r="I2" t="s">
        <v>5</v>
      </c>
      <c r="J2" t="s">
        <v>4</v>
      </c>
    </row>
    <row r="3" spans="1:10" x14ac:dyDescent="0.25">
      <c r="A3">
        <v>0</v>
      </c>
      <c r="B3" t="s">
        <v>6</v>
      </c>
      <c r="C3" t="s">
        <v>19</v>
      </c>
      <c r="D3">
        <v>999</v>
      </c>
      <c r="E3" t="s">
        <v>24</v>
      </c>
      <c r="F3" t="s">
        <v>14</v>
      </c>
      <c r="G3" t="s">
        <v>19</v>
      </c>
      <c r="H3" t="s">
        <v>19</v>
      </c>
      <c r="I3" t="s">
        <v>19</v>
      </c>
      <c r="J3" s="1" t="s">
        <v>22</v>
      </c>
    </row>
    <row r="4" spans="1:10" x14ac:dyDescent="0.25">
      <c r="A4">
        <v>1</v>
      </c>
      <c r="B4" t="s">
        <v>8</v>
      </c>
      <c r="D4">
        <v>260</v>
      </c>
      <c r="E4" t="s">
        <v>18</v>
      </c>
      <c r="F4" t="s">
        <v>31</v>
      </c>
      <c r="I4" t="s">
        <v>12</v>
      </c>
      <c r="J4" s="1" t="s">
        <v>20</v>
      </c>
    </row>
    <row r="5" spans="1:10" x14ac:dyDescent="0.25">
      <c r="A5">
        <v>2</v>
      </c>
      <c r="B5" t="s">
        <v>9</v>
      </c>
      <c r="D5">
        <v>268</v>
      </c>
      <c r="E5" t="s">
        <v>23</v>
      </c>
      <c r="F5" t="s">
        <v>27</v>
      </c>
      <c r="I5" s="1" t="s">
        <v>12</v>
      </c>
      <c r="J5" s="1" t="s">
        <v>21</v>
      </c>
    </row>
    <row r="6" spans="1:10" x14ac:dyDescent="0.25">
      <c r="A6">
        <v>3</v>
      </c>
      <c r="B6" t="s">
        <v>10</v>
      </c>
      <c r="D6">
        <v>243</v>
      </c>
      <c r="E6" t="s">
        <v>32</v>
      </c>
      <c r="F6" t="s">
        <v>28</v>
      </c>
      <c r="I6" s="1" t="s">
        <v>17</v>
      </c>
      <c r="J6" s="1"/>
    </row>
    <row r="7" spans="1:10" x14ac:dyDescent="0.25">
      <c r="A7">
        <v>4</v>
      </c>
      <c r="B7" t="s">
        <v>6</v>
      </c>
      <c r="C7" t="s">
        <v>1</v>
      </c>
      <c r="D7">
        <v>237</v>
      </c>
      <c r="E7" t="s">
        <v>26</v>
      </c>
      <c r="F7" t="s">
        <v>27</v>
      </c>
      <c r="I7" t="s">
        <v>12</v>
      </c>
      <c r="J7" s="1" t="s">
        <v>25</v>
      </c>
    </row>
    <row r="8" spans="1:10" x14ac:dyDescent="0.25">
      <c r="A8">
        <v>5</v>
      </c>
      <c r="B8" t="s">
        <v>7</v>
      </c>
      <c r="D8">
        <v>224</v>
      </c>
      <c r="E8" t="s">
        <v>29</v>
      </c>
      <c r="F8" t="s">
        <v>28</v>
      </c>
      <c r="I8" t="s">
        <v>12</v>
      </c>
      <c r="J8" s="1" t="s">
        <v>30</v>
      </c>
    </row>
    <row r="12" spans="1:10" x14ac:dyDescent="0.25">
      <c r="A12" t="s">
        <v>33</v>
      </c>
    </row>
    <row r="13" spans="1:10" x14ac:dyDescent="0.25">
      <c r="A13" s="4" t="s">
        <v>13</v>
      </c>
      <c r="B13" s="4" t="s">
        <v>0</v>
      </c>
      <c r="C13" s="4" t="s">
        <v>2</v>
      </c>
      <c r="D13" s="4" t="s">
        <v>1</v>
      </c>
      <c r="E13" s="4" t="s">
        <v>42</v>
      </c>
      <c r="F13" s="4" t="s">
        <v>43</v>
      </c>
      <c r="G13" s="4" t="s">
        <v>44</v>
      </c>
      <c r="H13" s="4" t="s">
        <v>38</v>
      </c>
      <c r="I13" s="4" t="s">
        <v>39</v>
      </c>
      <c r="J13" s="4" t="s">
        <v>4</v>
      </c>
    </row>
    <row r="14" spans="1:10" x14ac:dyDescent="0.25">
      <c r="A14" s="2">
        <v>0</v>
      </c>
      <c r="B14" s="2" t="s">
        <v>6</v>
      </c>
      <c r="C14" s="2" t="s">
        <v>19</v>
      </c>
      <c r="D14" s="2">
        <v>999</v>
      </c>
      <c r="E14" s="2" t="s">
        <v>24</v>
      </c>
      <c r="F14" s="2" t="s">
        <v>14</v>
      </c>
      <c r="G14" s="2" t="s">
        <v>19</v>
      </c>
      <c r="H14" s="2" t="s">
        <v>19</v>
      </c>
      <c r="I14" s="2" t="s">
        <v>19</v>
      </c>
      <c r="J14" s="3" t="s">
        <v>22</v>
      </c>
    </row>
    <row r="15" spans="1:10" x14ac:dyDescent="0.25">
      <c r="A15" s="6"/>
      <c r="B15" s="6" t="s">
        <v>34</v>
      </c>
      <c r="C15" s="5"/>
      <c r="D15" s="5">
        <v>288</v>
      </c>
      <c r="E15" s="2" t="s">
        <v>46</v>
      </c>
      <c r="F15" s="2"/>
      <c r="G15" s="2" t="s">
        <v>47</v>
      </c>
      <c r="H15" s="2"/>
      <c r="I15" s="2"/>
      <c r="J15" s="3"/>
    </row>
    <row r="16" spans="1:10" x14ac:dyDescent="0.25">
      <c r="A16" s="2"/>
      <c r="B16" s="2" t="s">
        <v>9</v>
      </c>
      <c r="C16" s="2"/>
      <c r="D16" s="2">
        <v>268</v>
      </c>
      <c r="E16" s="2" t="s">
        <v>23</v>
      </c>
      <c r="F16" s="2" t="s">
        <v>40</v>
      </c>
      <c r="G16" s="2" t="s">
        <v>47</v>
      </c>
      <c r="H16" s="2"/>
      <c r="I16" s="3" t="s">
        <v>12</v>
      </c>
      <c r="J16" s="3" t="s">
        <v>21</v>
      </c>
    </row>
    <row r="17" spans="1:10" x14ac:dyDescent="0.25">
      <c r="A17" s="2"/>
      <c r="B17" s="2" t="s">
        <v>8</v>
      </c>
      <c r="C17" s="2"/>
      <c r="D17" s="2">
        <v>260</v>
      </c>
      <c r="E17" s="2" t="s">
        <v>18</v>
      </c>
      <c r="F17" s="2" t="s">
        <v>27</v>
      </c>
      <c r="G17" s="2" t="s">
        <v>46</v>
      </c>
      <c r="H17" s="2"/>
      <c r="I17" s="2" t="s">
        <v>12</v>
      </c>
      <c r="J17" s="3" t="s">
        <v>20</v>
      </c>
    </row>
    <row r="18" spans="1:10" x14ac:dyDescent="0.25">
      <c r="A18" s="7"/>
      <c r="B18" s="8" t="s">
        <v>6</v>
      </c>
      <c r="C18" s="8" t="s">
        <v>1</v>
      </c>
      <c r="D18" s="8">
        <v>258</v>
      </c>
      <c r="E18" s="2" t="s">
        <v>26</v>
      </c>
      <c r="F18" s="2" t="s">
        <v>27</v>
      </c>
      <c r="G18" s="2" t="s">
        <v>46</v>
      </c>
      <c r="H18" s="2"/>
      <c r="I18" s="2" t="s">
        <v>12</v>
      </c>
      <c r="J18" s="3" t="s">
        <v>25</v>
      </c>
    </row>
    <row r="19" spans="1:10" x14ac:dyDescent="0.25">
      <c r="A19" s="2"/>
      <c r="B19" s="2" t="s">
        <v>41</v>
      </c>
      <c r="C19" s="2"/>
      <c r="D19" s="2">
        <v>236</v>
      </c>
      <c r="E19" s="2" t="s">
        <v>45</v>
      </c>
      <c r="F19" s="2" t="s">
        <v>28</v>
      </c>
      <c r="G19" s="2" t="s">
        <v>47</v>
      </c>
      <c r="H19" s="2"/>
      <c r="I19" s="3" t="s">
        <v>17</v>
      </c>
      <c r="J19" s="3"/>
    </row>
    <row r="24" spans="1:10" x14ac:dyDescent="0.25">
      <c r="A24" s="4" t="s">
        <v>13</v>
      </c>
      <c r="B24" s="4" t="s">
        <v>0</v>
      </c>
      <c r="C24" s="4" t="s">
        <v>2</v>
      </c>
      <c r="D24" s="4" t="s">
        <v>1</v>
      </c>
      <c r="E24" s="4" t="s">
        <v>52</v>
      </c>
      <c r="F24" s="4" t="s">
        <v>35</v>
      </c>
      <c r="G24" s="4" t="s">
        <v>36</v>
      </c>
      <c r="H24" s="4" t="s">
        <v>37</v>
      </c>
      <c r="I24" s="4" t="s">
        <v>38</v>
      </c>
      <c r="J24" s="4" t="s">
        <v>39</v>
      </c>
    </row>
    <row r="25" spans="1:10" x14ac:dyDescent="0.25">
      <c r="A25" s="6"/>
      <c r="B25" s="6" t="s">
        <v>34</v>
      </c>
      <c r="C25" s="5"/>
      <c r="D25" s="5">
        <v>277</v>
      </c>
      <c r="E25" s="8"/>
      <c r="F25" s="2"/>
      <c r="G25" s="2"/>
      <c r="H25" s="2"/>
      <c r="I25" s="2"/>
      <c r="J25" s="2" t="s">
        <v>54</v>
      </c>
    </row>
    <row r="26" spans="1:10" x14ac:dyDescent="0.25">
      <c r="A26" s="2"/>
      <c r="B26" s="2" t="s">
        <v>50</v>
      </c>
      <c r="C26" s="2"/>
      <c r="D26" s="2">
        <v>272</v>
      </c>
      <c r="E26" s="2"/>
      <c r="F26" s="2"/>
      <c r="G26" s="2"/>
      <c r="H26" s="2"/>
      <c r="I26" s="2"/>
      <c r="J26" s="3"/>
    </row>
    <row r="27" spans="1:10" x14ac:dyDescent="0.25">
      <c r="A27" s="2"/>
      <c r="B27" s="2" t="s">
        <v>49</v>
      </c>
      <c r="C27" s="2" t="s">
        <v>53</v>
      </c>
      <c r="D27" s="2">
        <v>267</v>
      </c>
      <c r="E27" s="2"/>
      <c r="F27" s="2"/>
      <c r="G27" s="2"/>
      <c r="H27" s="2"/>
      <c r="I27" s="2"/>
      <c r="J27" s="3"/>
    </row>
    <row r="28" spans="1:10" x14ac:dyDescent="0.25">
      <c r="A28" s="7"/>
      <c r="B28" s="8" t="s">
        <v>51</v>
      </c>
      <c r="C28" s="8"/>
      <c r="D28" s="8">
        <v>266</v>
      </c>
      <c r="E28" s="2"/>
      <c r="F28" s="2"/>
      <c r="G28" s="2"/>
      <c r="H28" s="2"/>
      <c r="I28" s="3"/>
      <c r="J28" s="3"/>
    </row>
    <row r="29" spans="1:10" x14ac:dyDescent="0.25">
      <c r="A29" s="2"/>
      <c r="B29" s="2" t="s">
        <v>48</v>
      </c>
      <c r="C29" s="2"/>
      <c r="D29" s="2">
        <v>262</v>
      </c>
      <c r="E29" s="2" t="s">
        <v>55</v>
      </c>
      <c r="F29" s="2"/>
      <c r="G29" s="2"/>
      <c r="H29" s="2"/>
      <c r="I29" s="3"/>
      <c r="J29" s="3"/>
    </row>
    <row r="31" spans="1:10" x14ac:dyDescent="0.25">
      <c r="B31" t="s">
        <v>56</v>
      </c>
    </row>
    <row r="33" spans="1:11" x14ac:dyDescent="0.25">
      <c r="A33" s="4" t="s">
        <v>13</v>
      </c>
      <c r="B33" s="4" t="s">
        <v>0</v>
      </c>
      <c r="C33" s="4" t="s">
        <v>2</v>
      </c>
      <c r="D33" s="4" t="s">
        <v>1</v>
      </c>
      <c r="E33" s="4" t="s">
        <v>58</v>
      </c>
      <c r="F33" s="4" t="s">
        <v>53</v>
      </c>
      <c r="G33" s="4" t="s">
        <v>66</v>
      </c>
      <c r="H33" s="4" t="s">
        <v>44</v>
      </c>
      <c r="I33" s="4" t="s">
        <v>70</v>
      </c>
      <c r="J33" s="4" t="s">
        <v>74</v>
      </c>
      <c r="K33" s="4" t="s">
        <v>39</v>
      </c>
    </row>
    <row r="34" spans="1:11" x14ac:dyDescent="0.25">
      <c r="A34" s="2">
        <v>1</v>
      </c>
      <c r="B34" s="2" t="s">
        <v>100</v>
      </c>
      <c r="C34" s="2"/>
      <c r="D34" s="2">
        <v>276</v>
      </c>
      <c r="E34" s="2" t="s">
        <v>61</v>
      </c>
      <c r="F34" s="2">
        <v>4264</v>
      </c>
      <c r="G34" s="2" t="s">
        <v>67</v>
      </c>
      <c r="H34" s="2" t="s">
        <v>46</v>
      </c>
      <c r="I34" s="2" t="s">
        <v>46</v>
      </c>
      <c r="J34" s="3"/>
      <c r="K34" s="3"/>
    </row>
    <row r="35" spans="1:11" x14ac:dyDescent="0.25">
      <c r="A35" s="2">
        <v>2</v>
      </c>
      <c r="B35" s="2" t="s">
        <v>50</v>
      </c>
      <c r="C35" s="2"/>
      <c r="D35" s="2">
        <v>274</v>
      </c>
      <c r="E35" s="2" t="s">
        <v>63</v>
      </c>
      <c r="F35" s="2">
        <v>3955</v>
      </c>
      <c r="G35" s="2" t="s">
        <v>68</v>
      </c>
      <c r="H35" s="2" t="s">
        <v>69</v>
      </c>
      <c r="I35" s="2" t="s">
        <v>46</v>
      </c>
      <c r="J35" s="2" t="s">
        <v>75</v>
      </c>
      <c r="K35" s="3"/>
    </row>
    <row r="36" spans="1:11" x14ac:dyDescent="0.25">
      <c r="A36" s="6">
        <v>3</v>
      </c>
      <c r="B36" s="6" t="s">
        <v>34</v>
      </c>
      <c r="C36" s="5"/>
      <c r="D36" s="5">
        <v>273</v>
      </c>
      <c r="E36" s="5" t="s">
        <v>60</v>
      </c>
      <c r="F36" s="2">
        <v>4827</v>
      </c>
      <c r="G36" s="2" t="s">
        <v>81</v>
      </c>
      <c r="H36" s="2" t="s">
        <v>77</v>
      </c>
      <c r="I36" s="2" t="s">
        <v>77</v>
      </c>
      <c r="J36" s="2" t="s">
        <v>78</v>
      </c>
      <c r="K36" s="3"/>
    </row>
    <row r="37" spans="1:11" x14ac:dyDescent="0.25">
      <c r="A37" s="7">
        <v>4</v>
      </c>
      <c r="B37" s="8" t="s">
        <v>9</v>
      </c>
      <c r="C37" s="8"/>
      <c r="D37" s="8">
        <v>268</v>
      </c>
      <c r="E37" s="8" t="s">
        <v>62</v>
      </c>
      <c r="F37" s="2">
        <v>4066</v>
      </c>
      <c r="G37" s="2" t="s">
        <v>71</v>
      </c>
      <c r="H37" s="2" t="s">
        <v>72</v>
      </c>
      <c r="I37" s="2"/>
      <c r="J37" s="3" t="s">
        <v>80</v>
      </c>
      <c r="K37" s="3"/>
    </row>
    <row r="38" spans="1:11" x14ac:dyDescent="0.25">
      <c r="A38" s="2">
        <v>5</v>
      </c>
      <c r="B38" s="2" t="s">
        <v>57</v>
      </c>
      <c r="C38" s="2" t="s">
        <v>58</v>
      </c>
      <c r="D38" s="2">
        <v>266</v>
      </c>
      <c r="E38" s="2" t="s">
        <v>64</v>
      </c>
      <c r="F38" s="2">
        <v>4261</v>
      </c>
      <c r="G38" s="2" t="s">
        <v>76</v>
      </c>
      <c r="H38" s="2" t="s">
        <v>79</v>
      </c>
      <c r="I38" s="2" t="s">
        <v>46</v>
      </c>
      <c r="J38" s="2" t="s">
        <v>101</v>
      </c>
      <c r="K38" s="3"/>
    </row>
    <row r="40" spans="1:11" x14ac:dyDescent="0.25">
      <c r="C40" s="1"/>
    </row>
    <row r="41" spans="1:11" x14ac:dyDescent="0.25">
      <c r="C41" s="1"/>
    </row>
    <row r="42" spans="1:11" x14ac:dyDescent="0.25">
      <c r="C42" s="1"/>
    </row>
    <row r="43" spans="1:11" x14ac:dyDescent="0.25">
      <c r="C43" s="1"/>
    </row>
    <row r="44" spans="1:11" x14ac:dyDescent="0.25">
      <c r="C44" s="1"/>
    </row>
    <row r="45" spans="1:11" x14ac:dyDescent="0.25">
      <c r="C45" s="1"/>
    </row>
    <row r="46" spans="1:11" x14ac:dyDescent="0.25">
      <c r="C46" s="1"/>
    </row>
    <row r="47" spans="1:11" x14ac:dyDescent="0.25">
      <c r="C47" s="1"/>
    </row>
    <row r="48" spans="1:11" x14ac:dyDescent="0.25">
      <c r="C48" s="1"/>
    </row>
    <row r="49" spans="3:3" x14ac:dyDescent="0.25">
      <c r="C49" s="1"/>
    </row>
    <row r="50" spans="3:3" x14ac:dyDescent="0.25">
      <c r="C50" s="1"/>
    </row>
    <row r="51" spans="3:3" x14ac:dyDescent="0.25">
      <c r="C51" s="1"/>
    </row>
  </sheetData>
  <phoneticPr fontId="4" type="noConversion"/>
  <pageMargins left="0.7" right="0.7" top="0.75" bottom="0.75" header="0.3" footer="0.3"/>
  <pageSetup orientation="portrait" horizontalDpi="0" verticalDpi="0"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B720-DC65-4AB6-9B99-BE1C922F9270}">
  <dimension ref="C5:Z57"/>
  <sheetViews>
    <sheetView tabSelected="1" topLeftCell="A20" workbookViewId="0">
      <selection activeCell="I29" sqref="I29"/>
    </sheetView>
  </sheetViews>
  <sheetFormatPr defaultRowHeight="15" x14ac:dyDescent="0.25"/>
  <cols>
    <col min="3" max="3" width="11.42578125" bestFit="1" customWidth="1"/>
    <col min="4" max="4" width="16.7109375" bestFit="1" customWidth="1"/>
    <col min="6" max="6" width="11.28515625" bestFit="1" customWidth="1"/>
    <col min="9" max="9" width="12.140625" bestFit="1" customWidth="1"/>
    <col min="10" max="10" width="9.28515625" bestFit="1" customWidth="1"/>
    <col min="11" max="11" width="37.42578125" bestFit="1" customWidth="1"/>
    <col min="12" max="12" width="19.85546875" bestFit="1" customWidth="1"/>
    <col min="13" max="13" width="8.85546875" bestFit="1" customWidth="1"/>
    <col min="14" max="14" width="65.28515625" bestFit="1" customWidth="1"/>
  </cols>
  <sheetData>
    <row r="5" spans="3:14" x14ac:dyDescent="0.25">
      <c r="C5" t="s">
        <v>115</v>
      </c>
    </row>
    <row r="7" spans="3:14" x14ac:dyDescent="0.25">
      <c r="C7" s="4" t="s">
        <v>13</v>
      </c>
      <c r="D7" s="4" t="s">
        <v>0</v>
      </c>
      <c r="E7" s="4" t="s">
        <v>2</v>
      </c>
      <c r="F7" s="4" t="s">
        <v>1</v>
      </c>
      <c r="G7" s="4" t="s">
        <v>58</v>
      </c>
      <c r="H7" s="4" t="s">
        <v>53</v>
      </c>
      <c r="I7" s="4" t="s">
        <v>111</v>
      </c>
      <c r="J7" s="4" t="s">
        <v>113</v>
      </c>
      <c r="K7" s="4" t="s">
        <v>66</v>
      </c>
      <c r="L7" s="4" t="s">
        <v>44</v>
      </c>
      <c r="M7" s="4" t="s">
        <v>70</v>
      </c>
      <c r="N7" s="4" t="s">
        <v>74</v>
      </c>
    </row>
    <row r="8" spans="3:14" x14ac:dyDescent="0.25">
      <c r="C8" s="2">
        <v>1</v>
      </c>
      <c r="D8" s="2" t="s">
        <v>100</v>
      </c>
      <c r="E8" s="2"/>
      <c r="F8" s="2">
        <v>276</v>
      </c>
      <c r="G8" s="2" t="s">
        <v>61</v>
      </c>
      <c r="H8" s="11">
        <v>4264</v>
      </c>
      <c r="I8" s="2">
        <v>5741</v>
      </c>
      <c r="J8" s="11">
        <f>Table9[[#This Row],[DEF]]+Table9[[#This Row],[Aura +HP]]</f>
        <v>10005</v>
      </c>
      <c r="K8" s="2" t="s">
        <v>67</v>
      </c>
      <c r="L8" s="2" t="s">
        <v>46</v>
      </c>
      <c r="M8" s="2" t="s">
        <v>46</v>
      </c>
      <c r="N8" s="3"/>
    </row>
    <row r="9" spans="3:14" x14ac:dyDescent="0.25">
      <c r="C9" s="2">
        <v>2</v>
      </c>
      <c r="D9" s="2" t="s">
        <v>50</v>
      </c>
      <c r="E9" s="2"/>
      <c r="F9" s="2">
        <v>274</v>
      </c>
      <c r="G9" s="2" t="s">
        <v>63</v>
      </c>
      <c r="H9" s="11">
        <v>3955</v>
      </c>
      <c r="I9" s="2">
        <v>5035</v>
      </c>
      <c r="J9" s="11">
        <f>Table9[[#This Row],[DEF]]+Table9[[#This Row],[Aura +HP]]</f>
        <v>8990</v>
      </c>
      <c r="K9" s="2" t="s">
        <v>68</v>
      </c>
      <c r="L9" s="2" t="s">
        <v>69</v>
      </c>
      <c r="M9" s="2" t="s">
        <v>46</v>
      </c>
      <c r="N9" s="2" t="s">
        <v>75</v>
      </c>
    </row>
    <row r="10" spans="3:14" x14ac:dyDescent="0.25">
      <c r="C10" s="2">
        <v>3</v>
      </c>
      <c r="D10" s="2" t="s">
        <v>34</v>
      </c>
      <c r="E10" s="2"/>
      <c r="F10" s="2">
        <v>273</v>
      </c>
      <c r="G10" s="2" t="s">
        <v>60</v>
      </c>
      <c r="H10" s="11">
        <v>4827</v>
      </c>
      <c r="I10" s="2">
        <v>3050</v>
      </c>
      <c r="J10" s="11">
        <f>Table9[[#This Row],[DEF]]+Table9[[#This Row],[Aura +HP]]</f>
        <v>7877</v>
      </c>
      <c r="K10" s="2" t="s">
        <v>81</v>
      </c>
      <c r="L10" s="2" t="s">
        <v>77</v>
      </c>
      <c r="M10" s="2" t="s">
        <v>77</v>
      </c>
      <c r="N10" s="2" t="s">
        <v>78</v>
      </c>
    </row>
    <row r="11" spans="3:14" x14ac:dyDescent="0.25">
      <c r="C11" s="2">
        <v>4</v>
      </c>
      <c r="D11" s="2" t="s">
        <v>9</v>
      </c>
      <c r="E11" s="2"/>
      <c r="F11" s="2">
        <v>268</v>
      </c>
      <c r="G11" s="2" t="s">
        <v>62</v>
      </c>
      <c r="H11" s="11">
        <v>4066</v>
      </c>
      <c r="I11" s="2">
        <v>4950</v>
      </c>
      <c r="J11" s="11">
        <f>Table9[[#This Row],[DEF]]+Table9[[#This Row],[Aura +HP]]</f>
        <v>9016</v>
      </c>
      <c r="K11" s="2" t="s">
        <v>71</v>
      </c>
      <c r="L11" s="2" t="s">
        <v>72</v>
      </c>
      <c r="M11" s="2"/>
      <c r="N11" s="3" t="s">
        <v>80</v>
      </c>
    </row>
    <row r="12" spans="3:14" x14ac:dyDescent="0.25">
      <c r="C12" s="2">
        <v>5</v>
      </c>
      <c r="D12" s="2" t="s">
        <v>57</v>
      </c>
      <c r="E12" s="13" t="s">
        <v>109</v>
      </c>
      <c r="F12" s="2">
        <v>266</v>
      </c>
      <c r="G12" s="2" t="s">
        <v>64</v>
      </c>
      <c r="H12" s="11">
        <v>4261</v>
      </c>
      <c r="I12" s="2">
        <v>3150</v>
      </c>
      <c r="J12" s="11">
        <f>Table9[[#This Row],[DEF]]+Table9[[#This Row],[Aura +HP]]</f>
        <v>7411</v>
      </c>
      <c r="K12" s="2" t="s">
        <v>76</v>
      </c>
      <c r="L12" s="2" t="s">
        <v>79</v>
      </c>
      <c r="M12" s="2" t="s">
        <v>46</v>
      </c>
      <c r="N12" s="2" t="s">
        <v>101</v>
      </c>
    </row>
    <row r="17" spans="3:26" x14ac:dyDescent="0.25">
      <c r="C17" s="4" t="s">
        <v>13</v>
      </c>
      <c r="D17" s="4" t="s">
        <v>0</v>
      </c>
      <c r="E17" s="4" t="s">
        <v>2</v>
      </c>
      <c r="F17" s="4" t="s">
        <v>1</v>
      </c>
      <c r="G17" s="12" t="s">
        <v>58</v>
      </c>
      <c r="H17" s="4" t="s">
        <v>53</v>
      </c>
      <c r="I17" s="4" t="s">
        <v>112</v>
      </c>
      <c r="J17" s="4" t="s">
        <v>114</v>
      </c>
      <c r="K17" s="4" t="s">
        <v>66</v>
      </c>
      <c r="L17" s="4" t="s">
        <v>44</v>
      </c>
      <c r="M17" s="4" t="s">
        <v>70</v>
      </c>
      <c r="N17" s="4" t="s">
        <v>74</v>
      </c>
      <c r="Q17" t="s">
        <v>123</v>
      </c>
      <c r="R17">
        <v>1</v>
      </c>
      <c r="S17" s="18" t="s">
        <v>117</v>
      </c>
      <c r="T17" t="s">
        <v>120</v>
      </c>
      <c r="W17" s="19" t="s">
        <v>126</v>
      </c>
    </row>
    <row r="18" spans="3:26" x14ac:dyDescent="0.25">
      <c r="C18" s="2">
        <v>1</v>
      </c>
      <c r="D18" s="2" t="s">
        <v>50</v>
      </c>
      <c r="E18" s="2"/>
      <c r="F18" s="2">
        <v>274</v>
      </c>
      <c r="G18" s="11" t="s">
        <v>63</v>
      </c>
      <c r="H18" s="2">
        <v>3980</v>
      </c>
      <c r="I18" s="2">
        <v>316</v>
      </c>
      <c r="J18" s="11">
        <f>Table7[[#This Row],[DEF]]+Table7[[#This Row],[Aura +DEF]]</f>
        <v>4296</v>
      </c>
      <c r="K18" s="2" t="s">
        <v>68</v>
      </c>
      <c r="L18" s="2" t="s">
        <v>69</v>
      </c>
      <c r="M18" s="8" t="s">
        <v>46</v>
      </c>
      <c r="N18" s="2" t="s">
        <v>75</v>
      </c>
      <c r="R18">
        <v>2</v>
      </c>
      <c r="S18" s="14" t="s">
        <v>118</v>
      </c>
      <c r="T18" t="s">
        <v>120</v>
      </c>
      <c r="V18" s="19" t="s">
        <v>126</v>
      </c>
    </row>
    <row r="19" spans="3:26" x14ac:dyDescent="0.25">
      <c r="C19" s="2">
        <v>2</v>
      </c>
      <c r="D19" s="2" t="s">
        <v>102</v>
      </c>
      <c r="E19" s="13" t="s">
        <v>108</v>
      </c>
      <c r="F19" s="2">
        <v>274</v>
      </c>
      <c r="G19" s="11" t="s">
        <v>106</v>
      </c>
      <c r="H19" s="2">
        <v>4157</v>
      </c>
      <c r="I19" s="2">
        <v>344</v>
      </c>
      <c r="J19" s="11">
        <f>Table7[[#This Row],[DEF]]+Table7[[#This Row],[Aura +DEF]]</f>
        <v>4501</v>
      </c>
      <c r="K19" s="2" t="s">
        <v>104</v>
      </c>
      <c r="L19" s="2" t="s">
        <v>103</v>
      </c>
      <c r="M19" s="6" t="s">
        <v>105</v>
      </c>
      <c r="N19" s="3"/>
      <c r="R19">
        <v>3</v>
      </c>
      <c r="S19" s="17" t="s">
        <v>124</v>
      </c>
      <c r="T19" t="s">
        <v>122</v>
      </c>
    </row>
    <row r="20" spans="3:26" x14ac:dyDescent="0.25">
      <c r="C20" s="2">
        <v>3</v>
      </c>
      <c r="D20" s="2" t="s">
        <v>34</v>
      </c>
      <c r="E20" s="2"/>
      <c r="F20" s="2">
        <v>273</v>
      </c>
      <c r="G20" s="11" t="s">
        <v>60</v>
      </c>
      <c r="H20" s="2">
        <v>4827</v>
      </c>
      <c r="I20" s="2">
        <v>311</v>
      </c>
      <c r="J20" s="11">
        <f>Table7[[#This Row],[DEF]]+Table7[[#This Row],[Aura +DEF]]</f>
        <v>5138</v>
      </c>
      <c r="K20" s="2" t="s">
        <v>81</v>
      </c>
      <c r="L20" s="2" t="s">
        <v>77</v>
      </c>
      <c r="M20" s="2" t="s">
        <v>77</v>
      </c>
      <c r="N20" s="2" t="s">
        <v>78</v>
      </c>
      <c r="R20">
        <v>4</v>
      </c>
      <c r="S20" s="16" t="s">
        <v>119</v>
      </c>
      <c r="T20" t="s">
        <v>122</v>
      </c>
      <c r="U20" s="19" t="s">
        <v>126</v>
      </c>
    </row>
    <row r="21" spans="3:26" x14ac:dyDescent="0.25">
      <c r="C21" s="2">
        <v>4</v>
      </c>
      <c r="D21" s="2" t="s">
        <v>9</v>
      </c>
      <c r="E21" s="2"/>
      <c r="F21" s="2">
        <v>271</v>
      </c>
      <c r="G21" s="11" t="s">
        <v>62</v>
      </c>
      <c r="H21" s="2">
        <v>4066</v>
      </c>
      <c r="I21" s="2">
        <v>313</v>
      </c>
      <c r="J21" s="11">
        <f>Table7[[#This Row],[DEF]]+Table7[[#This Row],[Aura +DEF]]</f>
        <v>4379</v>
      </c>
      <c r="K21" s="2" t="s">
        <v>71</v>
      </c>
      <c r="L21" s="2" t="s">
        <v>72</v>
      </c>
      <c r="M21" s="2"/>
      <c r="N21" s="3" t="s">
        <v>80</v>
      </c>
      <c r="R21">
        <v>5</v>
      </c>
      <c r="S21" s="15" t="s">
        <v>116</v>
      </c>
      <c r="T21" t="s">
        <v>120</v>
      </c>
      <c r="Z21" s="19" t="s">
        <v>126</v>
      </c>
    </row>
    <row r="22" spans="3:26" x14ac:dyDescent="0.25">
      <c r="C22" s="2">
        <v>5</v>
      </c>
      <c r="D22" s="2" t="s">
        <v>57</v>
      </c>
      <c r="E22" s="2" t="s">
        <v>58</v>
      </c>
      <c r="F22" s="2">
        <v>266</v>
      </c>
      <c r="G22" s="11" t="s">
        <v>64</v>
      </c>
      <c r="H22" s="2">
        <v>4261</v>
      </c>
      <c r="I22" s="2">
        <v>231</v>
      </c>
      <c r="J22" s="11">
        <f>Table7[[#This Row],[DEF]]+Table7[[#This Row],[Aura +DEF]]</f>
        <v>4492</v>
      </c>
      <c r="K22" s="2" t="s">
        <v>76</v>
      </c>
      <c r="L22" s="2" t="s">
        <v>79</v>
      </c>
      <c r="M22" s="2" t="s">
        <v>46</v>
      </c>
      <c r="N22" s="2" t="s">
        <v>101</v>
      </c>
      <c r="R22">
        <v>6</v>
      </c>
      <c r="S22" s="18" t="s">
        <v>117</v>
      </c>
      <c r="T22" t="s">
        <v>122</v>
      </c>
    </row>
    <row r="23" spans="3:26" x14ac:dyDescent="0.25">
      <c r="R23">
        <v>7</v>
      </c>
      <c r="S23" s="14" t="s">
        <v>118</v>
      </c>
      <c r="T23" t="s">
        <v>122</v>
      </c>
      <c r="Y23" s="19" t="s">
        <v>126</v>
      </c>
    </row>
    <row r="24" spans="3:26" x14ac:dyDescent="0.25">
      <c r="C24" t="s">
        <v>107</v>
      </c>
      <c r="D24" t="s">
        <v>158</v>
      </c>
      <c r="E24" t="s">
        <v>159</v>
      </c>
      <c r="R24">
        <v>8</v>
      </c>
      <c r="S24" s="17" t="s">
        <v>124</v>
      </c>
      <c r="T24" t="s">
        <v>45</v>
      </c>
      <c r="W24" s="19" t="s">
        <v>126</v>
      </c>
      <c r="X24" s="19" t="s">
        <v>126</v>
      </c>
    </row>
    <row r="25" spans="3:26" x14ac:dyDescent="0.25">
      <c r="R25">
        <v>9</v>
      </c>
      <c r="S25" s="16" t="s">
        <v>119</v>
      </c>
      <c r="T25" t="s">
        <v>121</v>
      </c>
      <c r="V25" s="19" t="s">
        <v>126</v>
      </c>
    </row>
    <row r="26" spans="3:26" x14ac:dyDescent="0.25">
      <c r="R26">
        <v>10</v>
      </c>
      <c r="S26" s="15" t="s">
        <v>116</v>
      </c>
      <c r="T26" t="s">
        <v>122</v>
      </c>
    </row>
    <row r="27" spans="3:26" x14ac:dyDescent="0.25">
      <c r="C27" s="4" t="s">
        <v>13</v>
      </c>
      <c r="D27" s="4" t="s">
        <v>0</v>
      </c>
      <c r="E27" s="4" t="s">
        <v>2</v>
      </c>
      <c r="F27" s="4" t="s">
        <v>1</v>
      </c>
      <c r="G27" s="12" t="s">
        <v>58</v>
      </c>
      <c r="H27" s="4" t="s">
        <v>53</v>
      </c>
      <c r="I27" s="4" t="s">
        <v>112</v>
      </c>
      <c r="J27" s="4" t="s">
        <v>114</v>
      </c>
      <c r="K27" s="4" t="s">
        <v>66</v>
      </c>
      <c r="L27" s="4" t="s">
        <v>44</v>
      </c>
      <c r="M27" s="4" t="s">
        <v>70</v>
      </c>
      <c r="N27" s="4" t="s">
        <v>74</v>
      </c>
      <c r="R27">
        <v>11</v>
      </c>
      <c r="S27" s="18" t="s">
        <v>117</v>
      </c>
      <c r="T27" t="s">
        <v>121</v>
      </c>
      <c r="U27" s="19" t="s">
        <v>132</v>
      </c>
      <c r="Z27" s="19" t="s">
        <v>126</v>
      </c>
    </row>
    <row r="28" spans="3:26" x14ac:dyDescent="0.25">
      <c r="C28" s="2">
        <v>1</v>
      </c>
      <c r="D28" s="2" t="s">
        <v>50</v>
      </c>
      <c r="E28" s="2"/>
      <c r="F28" s="2">
        <v>274</v>
      </c>
      <c r="G28" s="11">
        <v>96706</v>
      </c>
      <c r="H28" s="2">
        <v>3954</v>
      </c>
      <c r="I28" s="2">
        <v>417</v>
      </c>
      <c r="J28" s="11">
        <f>Table79[[#This Row],[DEF]]+Table79[[#This Row],[Aura +DEF]]</f>
        <v>4371</v>
      </c>
      <c r="K28" s="2" t="s">
        <v>68</v>
      </c>
      <c r="L28" s="2" t="s">
        <v>69</v>
      </c>
      <c r="M28" s="8" t="s">
        <v>46</v>
      </c>
      <c r="N28" s="2" t="s">
        <v>75</v>
      </c>
      <c r="R28">
        <v>12</v>
      </c>
      <c r="S28" s="14" t="s">
        <v>118</v>
      </c>
      <c r="T28" t="s">
        <v>121</v>
      </c>
    </row>
    <row r="29" spans="3:26" x14ac:dyDescent="0.25">
      <c r="C29" s="2">
        <v>2</v>
      </c>
      <c r="D29" s="2" t="s">
        <v>48</v>
      </c>
      <c r="E29" s="13" t="s">
        <v>110</v>
      </c>
      <c r="F29" s="2">
        <v>272</v>
      </c>
      <c r="G29" s="11">
        <v>48711</v>
      </c>
      <c r="H29" s="2">
        <v>6879</v>
      </c>
      <c r="I29" s="2">
        <v>534.27</v>
      </c>
      <c r="J29" s="11">
        <f>Table79[[#This Row],[DEF]]+Table79[[#This Row],[Aura +DEF]]</f>
        <v>7413.27</v>
      </c>
      <c r="K29" s="2" t="s">
        <v>47</v>
      </c>
      <c r="L29" s="2" t="s">
        <v>45</v>
      </c>
      <c r="M29" s="6" t="s">
        <v>46</v>
      </c>
      <c r="N29" s="3"/>
      <c r="R29">
        <v>13</v>
      </c>
      <c r="S29" s="17" t="s">
        <v>124</v>
      </c>
      <c r="T29" t="s">
        <v>46</v>
      </c>
      <c r="Y29" s="19"/>
    </row>
    <row r="30" spans="3:26" x14ac:dyDescent="0.25">
      <c r="C30" s="2">
        <v>4</v>
      </c>
      <c r="D30" s="2" t="s">
        <v>9</v>
      </c>
      <c r="E30" s="2"/>
      <c r="F30" s="2">
        <v>271</v>
      </c>
      <c r="G30" s="11">
        <v>82693</v>
      </c>
      <c r="H30" s="2">
        <v>3930</v>
      </c>
      <c r="I30" s="2">
        <v>414</v>
      </c>
      <c r="J30" s="11">
        <f>Table79[[#This Row],[DEF]]+Table79[[#This Row],[Aura +DEF]]</f>
        <v>4344</v>
      </c>
      <c r="K30" s="2" t="s">
        <v>71</v>
      </c>
      <c r="L30" s="2" t="s">
        <v>72</v>
      </c>
      <c r="M30" s="2"/>
      <c r="N30" s="3" t="s">
        <v>80</v>
      </c>
      <c r="R30">
        <v>14</v>
      </c>
      <c r="S30" s="16" t="s">
        <v>119</v>
      </c>
      <c r="T30" t="s">
        <v>121</v>
      </c>
      <c r="Y30" s="19" t="s">
        <v>126</v>
      </c>
    </row>
    <row r="31" spans="3:26" x14ac:dyDescent="0.25">
      <c r="C31" s="2">
        <v>3</v>
      </c>
      <c r="D31" s="2" t="s">
        <v>34</v>
      </c>
      <c r="E31" s="2"/>
      <c r="F31" s="2">
        <v>267</v>
      </c>
      <c r="G31" s="11">
        <v>27441</v>
      </c>
      <c r="H31" s="2">
        <v>4749</v>
      </c>
      <c r="I31" s="2">
        <v>410</v>
      </c>
      <c r="J31" s="11">
        <f>Table79[[#This Row],[DEF]]+Table79[[#This Row],[Aura +DEF]]</f>
        <v>5159</v>
      </c>
      <c r="K31" s="2" t="s">
        <v>77</v>
      </c>
      <c r="L31" s="2" t="s">
        <v>81</v>
      </c>
      <c r="M31" s="2" t="s">
        <v>77</v>
      </c>
      <c r="N31" s="2" t="s">
        <v>78</v>
      </c>
      <c r="R31">
        <v>15</v>
      </c>
      <c r="S31" s="15" t="s">
        <v>116</v>
      </c>
      <c r="T31" t="s">
        <v>121</v>
      </c>
      <c r="X31" s="19" t="s">
        <v>126</v>
      </c>
    </row>
    <row r="32" spans="3:26" x14ac:dyDescent="0.25">
      <c r="C32" s="2">
        <v>5</v>
      </c>
      <c r="D32" s="2" t="s">
        <v>57</v>
      </c>
      <c r="E32" s="2" t="s">
        <v>109</v>
      </c>
      <c r="F32" s="2">
        <v>266</v>
      </c>
      <c r="G32" s="11">
        <v>64000</v>
      </c>
      <c r="H32" s="2">
        <v>4261</v>
      </c>
      <c r="I32" s="2">
        <v>305</v>
      </c>
      <c r="J32" s="11">
        <f>Table79[[#This Row],[DEF]]+Table79[[#This Row],[Aura +DEF]]</f>
        <v>4566</v>
      </c>
      <c r="K32" s="2" t="s">
        <v>76</v>
      </c>
      <c r="L32" s="2" t="s">
        <v>79</v>
      </c>
      <c r="M32" s="2" t="s">
        <v>46</v>
      </c>
      <c r="N32" s="2" t="s">
        <v>101</v>
      </c>
      <c r="Q32" t="s">
        <v>123</v>
      </c>
      <c r="R32">
        <v>16</v>
      </c>
      <c r="S32" s="18" t="s">
        <v>117</v>
      </c>
      <c r="T32" t="s">
        <v>120</v>
      </c>
      <c r="W32" s="19" t="s">
        <v>126</v>
      </c>
    </row>
    <row r="33" spans="3:22" x14ac:dyDescent="0.25">
      <c r="V33" t="s">
        <v>125</v>
      </c>
    </row>
    <row r="36" spans="3:22" x14ac:dyDescent="0.25">
      <c r="C36" t="s">
        <v>160</v>
      </c>
    </row>
    <row r="37" spans="3:22" x14ac:dyDescent="0.25">
      <c r="C37" s="4" t="s">
        <v>13</v>
      </c>
      <c r="D37" s="4" t="s">
        <v>0</v>
      </c>
      <c r="E37" s="4" t="s">
        <v>2</v>
      </c>
      <c r="F37" s="4" t="s">
        <v>168</v>
      </c>
      <c r="G37" s="12" t="s">
        <v>167</v>
      </c>
      <c r="H37" s="4" t="s">
        <v>53</v>
      </c>
      <c r="I37" s="4" t="s">
        <v>165</v>
      </c>
      <c r="J37" s="4" t="s">
        <v>166</v>
      </c>
      <c r="K37" s="4" t="s">
        <v>111</v>
      </c>
      <c r="L37" s="4" t="s">
        <v>113</v>
      </c>
      <c r="M37" s="4" t="s">
        <v>66</v>
      </c>
      <c r="N37" s="4" t="s">
        <v>44</v>
      </c>
      <c r="O37" s="4" t="s">
        <v>70</v>
      </c>
      <c r="P37" s="4" t="s">
        <v>74</v>
      </c>
      <c r="U37" t="s">
        <v>127</v>
      </c>
    </row>
    <row r="38" spans="3:22" x14ac:dyDescent="0.25">
      <c r="C38" s="2">
        <v>1</v>
      </c>
      <c r="D38" s="2" t="s">
        <v>161</v>
      </c>
      <c r="E38" s="2"/>
      <c r="F38" s="2">
        <v>189</v>
      </c>
      <c r="G38" s="2">
        <v>72868</v>
      </c>
      <c r="H38" s="2">
        <v>1900</v>
      </c>
      <c r="I38" s="2">
        <f t="shared" ref="I38" si="0">0.19*98</f>
        <v>18.62</v>
      </c>
      <c r="J38" s="11">
        <f>Table7911[[#This Row],[Base SPD]]+Table7911[[#This Row],[Aura +SP]]</f>
        <v>207.62</v>
      </c>
      <c r="K38" s="2">
        <f>0.25*23625</f>
        <v>5906.25</v>
      </c>
      <c r="L38" s="22">
        <f>Table7911[[#This Row],[HPk]]+Table7911[[#This Row],[Aura +HP]]</f>
        <v>78774.25</v>
      </c>
      <c r="M38" s="2" t="s">
        <v>47</v>
      </c>
      <c r="N38" s="2" t="s">
        <v>45</v>
      </c>
      <c r="O38" s="8" t="s">
        <v>46</v>
      </c>
      <c r="P38" s="2"/>
      <c r="U38" t="s">
        <v>128</v>
      </c>
    </row>
    <row r="39" spans="3:22" x14ac:dyDescent="0.25">
      <c r="C39" s="2">
        <v>4</v>
      </c>
      <c r="D39" s="2" t="s">
        <v>164</v>
      </c>
      <c r="E39" s="2"/>
      <c r="F39" s="2">
        <v>185</v>
      </c>
      <c r="G39" s="2">
        <v>34823</v>
      </c>
      <c r="H39" s="2">
        <v>2478</v>
      </c>
      <c r="I39" s="2">
        <f>0.19*103</f>
        <v>19.57</v>
      </c>
      <c r="J39" s="11">
        <f>Table7911[[#This Row],[Base SPD]]+Table7911[[#This Row],[Aura +SP]]</f>
        <v>204.57</v>
      </c>
      <c r="K39" s="2">
        <f>0.25*13710</f>
        <v>3427.5</v>
      </c>
      <c r="L39" s="22">
        <f>Table7911[[#This Row],[HPk]]+Table7911[[#This Row],[Aura +HP]]</f>
        <v>38250.5</v>
      </c>
      <c r="M39" s="2" t="s">
        <v>45</v>
      </c>
      <c r="N39" s="2" t="s">
        <v>73</v>
      </c>
      <c r="O39" s="2" t="s">
        <v>46</v>
      </c>
      <c r="P39" s="3"/>
      <c r="U39" t="s">
        <v>129</v>
      </c>
    </row>
    <row r="40" spans="3:22" x14ac:dyDescent="0.25">
      <c r="C40" s="2">
        <v>2</v>
      </c>
      <c r="D40" s="2" t="s">
        <v>162</v>
      </c>
      <c r="E40" s="13" t="s">
        <v>163</v>
      </c>
      <c r="F40" s="2">
        <v>170</v>
      </c>
      <c r="G40" s="2">
        <v>69604</v>
      </c>
      <c r="H40" s="2">
        <v>3657</v>
      </c>
      <c r="I40" s="2">
        <f>0.19*110</f>
        <v>20.9</v>
      </c>
      <c r="J40" s="11">
        <f>Table7911[[#This Row],[Base SPD]]+Table7911[[#This Row],[Aura +SP]]</f>
        <v>190.9</v>
      </c>
      <c r="K40" s="2">
        <f>0.25*19650</f>
        <v>4912.5</v>
      </c>
      <c r="L40" s="22">
        <f>Table7911[[#This Row],[HPk]]+Table7911[[#This Row],[Aura +HP]]</f>
        <v>74516.5</v>
      </c>
      <c r="M40" s="2" t="s">
        <v>47</v>
      </c>
      <c r="N40" s="2" t="s">
        <v>46</v>
      </c>
      <c r="O40" s="6" t="s">
        <v>46</v>
      </c>
      <c r="P40" s="3"/>
      <c r="U40" t="s">
        <v>130</v>
      </c>
    </row>
    <row r="41" spans="3:22" x14ac:dyDescent="0.25">
      <c r="C41" s="2">
        <v>3</v>
      </c>
      <c r="D41" s="25" t="s">
        <v>51</v>
      </c>
      <c r="E41" s="2"/>
      <c r="F41" s="2">
        <v>180</v>
      </c>
      <c r="G41" s="2">
        <v>37430</v>
      </c>
      <c r="H41" s="2">
        <v>2851</v>
      </c>
      <c r="I41" s="2">
        <f>0.19*100</f>
        <v>19</v>
      </c>
      <c r="J41" s="11">
        <f>Table7911[[#This Row],[Base SPD]]+Table7911[[#This Row],[Aura +SP]]</f>
        <v>199</v>
      </c>
      <c r="K41" s="2">
        <f t="shared" ref="K38:K42" si="1">0.25*16845</f>
        <v>4211.25</v>
      </c>
      <c r="L41" s="22">
        <f>Table7911[[#This Row],[HPk]]+Table7911[[#This Row],[Aura +HP]]</f>
        <v>41641.25</v>
      </c>
      <c r="M41" s="2" t="s">
        <v>47</v>
      </c>
      <c r="N41" s="2" t="s">
        <v>45</v>
      </c>
      <c r="O41" s="2" t="s">
        <v>46</v>
      </c>
      <c r="P41" s="2"/>
      <c r="U41" t="s">
        <v>131</v>
      </c>
    </row>
    <row r="42" spans="3:22" x14ac:dyDescent="0.25">
      <c r="C42" s="2">
        <v>5</v>
      </c>
      <c r="D42" s="24" t="s">
        <v>57</v>
      </c>
      <c r="E42" s="2" t="s">
        <v>109</v>
      </c>
      <c r="F42" s="2">
        <v>165</v>
      </c>
      <c r="G42" s="2">
        <v>45455</v>
      </c>
      <c r="H42" s="2">
        <v>1923</v>
      </c>
      <c r="I42" s="2">
        <f>0.19*94</f>
        <v>17.86</v>
      </c>
      <c r="J42" s="11">
        <f>Table7911[[#This Row],[Base SPD]]+Table7911[[#This Row],[Aura +SP]]</f>
        <v>182.86</v>
      </c>
      <c r="K42" s="2">
        <f>0.25*15525</f>
        <v>3881.25</v>
      </c>
      <c r="L42" s="22">
        <f>Table7911[[#This Row],[HPk]]+Table7911[[#This Row],[Aura +HP]]</f>
        <v>49336.25</v>
      </c>
      <c r="M42" s="2" t="s">
        <v>45</v>
      </c>
      <c r="N42" s="2" t="s">
        <v>47</v>
      </c>
      <c r="O42" s="2" t="s">
        <v>46</v>
      </c>
      <c r="P42" s="2"/>
    </row>
    <row r="45" spans="3:22" x14ac:dyDescent="0.25">
      <c r="C45" s="4" t="s">
        <v>13</v>
      </c>
      <c r="D45" s="4" t="s">
        <v>0</v>
      </c>
      <c r="E45" s="4" t="s">
        <v>2</v>
      </c>
      <c r="F45" s="4" t="s">
        <v>1</v>
      </c>
      <c r="G45" s="4" t="s">
        <v>58</v>
      </c>
      <c r="H45" s="4" t="s">
        <v>53</v>
      </c>
      <c r="I45" s="4" t="s">
        <v>112</v>
      </c>
      <c r="J45" s="4" t="s">
        <v>114</v>
      </c>
      <c r="K45" s="4" t="s">
        <v>66</v>
      </c>
      <c r="L45" s="4" t="s">
        <v>44</v>
      </c>
      <c r="M45" s="4" t="s">
        <v>70</v>
      </c>
    </row>
    <row r="46" spans="3:22" x14ac:dyDescent="0.25">
      <c r="C46" s="2">
        <v>1</v>
      </c>
      <c r="D46" s="2" t="s">
        <v>100</v>
      </c>
      <c r="E46" s="2"/>
      <c r="F46" s="2">
        <v>275</v>
      </c>
      <c r="G46" s="11">
        <v>87530</v>
      </c>
      <c r="H46" s="2">
        <v>3094</v>
      </c>
      <c r="I46" s="2"/>
      <c r="J46" s="11"/>
      <c r="K46" s="2" t="s">
        <v>46</v>
      </c>
      <c r="L46" s="2" t="s">
        <v>172</v>
      </c>
      <c r="M46" s="2"/>
      <c r="O46" t="s">
        <v>174</v>
      </c>
    </row>
    <row r="47" spans="3:22" x14ac:dyDescent="0.25">
      <c r="C47" s="2">
        <v>4</v>
      </c>
      <c r="D47" s="2" t="s">
        <v>169</v>
      </c>
      <c r="E47" s="23"/>
      <c r="F47" s="2">
        <v>269</v>
      </c>
      <c r="G47" s="11">
        <v>77353</v>
      </c>
      <c r="H47" s="2">
        <v>4094</v>
      </c>
      <c r="I47" s="2"/>
      <c r="J47" s="11"/>
      <c r="K47" s="2" t="s">
        <v>45</v>
      </c>
      <c r="L47" s="2" t="s">
        <v>47</v>
      </c>
      <c r="M47" s="2"/>
      <c r="O47" t="s">
        <v>59</v>
      </c>
      <c r="P47" t="s">
        <v>46</v>
      </c>
      <c r="Q47" t="s">
        <v>180</v>
      </c>
    </row>
    <row r="48" spans="3:22" x14ac:dyDescent="0.25">
      <c r="C48" s="2">
        <v>2</v>
      </c>
      <c r="D48" s="2" t="s">
        <v>49</v>
      </c>
      <c r="E48" s="5"/>
      <c r="F48" s="2">
        <v>266</v>
      </c>
      <c r="G48" s="11">
        <v>45938</v>
      </c>
      <c r="H48" s="2">
        <v>3193</v>
      </c>
      <c r="I48" s="2"/>
      <c r="J48" s="11"/>
      <c r="K48" s="2" t="s">
        <v>45</v>
      </c>
      <c r="L48" s="2" t="s">
        <v>47</v>
      </c>
      <c r="M48" s="2"/>
      <c r="O48" t="s">
        <v>9</v>
      </c>
      <c r="P48" t="s">
        <v>45</v>
      </c>
      <c r="Q48" t="s">
        <v>179</v>
      </c>
    </row>
    <row r="49" spans="3:17" x14ac:dyDescent="0.25">
      <c r="C49" s="2">
        <v>5</v>
      </c>
      <c r="D49" s="2" t="s">
        <v>171</v>
      </c>
      <c r="E49" s="2"/>
      <c r="F49" s="2">
        <v>266</v>
      </c>
      <c r="G49" s="11">
        <v>52517</v>
      </c>
      <c r="H49" s="2">
        <v>3099</v>
      </c>
      <c r="I49" s="2"/>
      <c r="J49" s="11"/>
      <c r="K49" s="2" t="s">
        <v>45</v>
      </c>
      <c r="L49" s="2" t="s">
        <v>47</v>
      </c>
      <c r="M49" s="2"/>
      <c r="O49" t="s">
        <v>175</v>
      </c>
      <c r="P49" t="s">
        <v>47</v>
      </c>
      <c r="Q49" t="s">
        <v>180</v>
      </c>
    </row>
    <row r="50" spans="3:17" x14ac:dyDescent="0.25">
      <c r="C50" s="2">
        <v>3</v>
      </c>
      <c r="D50" s="2" t="s">
        <v>170</v>
      </c>
      <c r="E50" s="2"/>
      <c r="F50" s="2">
        <v>265</v>
      </c>
      <c r="G50" s="11">
        <v>72137</v>
      </c>
      <c r="H50" s="2">
        <v>4749</v>
      </c>
      <c r="I50" s="2"/>
      <c r="J50" s="11"/>
      <c r="K50" s="2" t="s">
        <v>46</v>
      </c>
      <c r="L50" s="2" t="s">
        <v>173</v>
      </c>
      <c r="M50" s="2"/>
      <c r="O50" t="s">
        <v>171</v>
      </c>
      <c r="P50" t="s">
        <v>45</v>
      </c>
      <c r="Q50" t="s">
        <v>181</v>
      </c>
    </row>
    <row r="51" spans="3:17" x14ac:dyDescent="0.25">
      <c r="C51" s="2">
        <v>9</v>
      </c>
      <c r="D51" s="2" t="s">
        <v>184</v>
      </c>
      <c r="E51" s="2"/>
      <c r="F51" s="2">
        <v>262</v>
      </c>
      <c r="G51" s="11">
        <v>67367</v>
      </c>
      <c r="H51" s="2">
        <v>4158</v>
      </c>
      <c r="I51" s="2"/>
      <c r="J51" s="11"/>
      <c r="K51" s="2" t="s">
        <v>47</v>
      </c>
      <c r="L51" s="2"/>
      <c r="M51" s="2"/>
      <c r="O51" t="s">
        <v>34</v>
      </c>
      <c r="P51" t="s">
        <v>46</v>
      </c>
      <c r="Q51" t="s">
        <v>180</v>
      </c>
    </row>
    <row r="52" spans="3:17" x14ac:dyDescent="0.25">
      <c r="O52" t="s">
        <v>176</v>
      </c>
      <c r="P52" t="s">
        <v>177</v>
      </c>
    </row>
    <row r="53" spans="3:17" x14ac:dyDescent="0.25">
      <c r="O53" t="s">
        <v>59</v>
      </c>
      <c r="P53" t="s">
        <v>47</v>
      </c>
      <c r="Q53" t="s">
        <v>182</v>
      </c>
    </row>
    <row r="54" spans="3:17" x14ac:dyDescent="0.25">
      <c r="O54" t="s">
        <v>9</v>
      </c>
      <c r="P54" t="s">
        <v>47</v>
      </c>
      <c r="Q54" t="s">
        <v>178</v>
      </c>
    </row>
    <row r="55" spans="3:17" x14ac:dyDescent="0.25">
      <c r="O55" t="s">
        <v>175</v>
      </c>
      <c r="P55" t="s">
        <v>45</v>
      </c>
      <c r="Q55" t="s">
        <v>65</v>
      </c>
    </row>
    <row r="56" spans="3:17" x14ac:dyDescent="0.25">
      <c r="O56" t="s">
        <v>171</v>
      </c>
    </row>
    <row r="57" spans="3:17" x14ac:dyDescent="0.25">
      <c r="O57" t="s">
        <v>183</v>
      </c>
      <c r="P57" t="s">
        <v>47</v>
      </c>
    </row>
  </sheetData>
  <pageMargins left="0.7" right="0.7" top="0.75" bottom="0.75" header="0.3" footer="0.3"/>
  <pageSetup orientation="portrait" horizontalDpi="0" verticalDpi="0"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6FA6-2527-44AA-A4BD-257A2E4E2F40}">
  <dimension ref="A1:K18"/>
  <sheetViews>
    <sheetView workbookViewId="0">
      <selection activeCell="D18" sqref="D18"/>
    </sheetView>
  </sheetViews>
  <sheetFormatPr defaultRowHeight="15" x14ac:dyDescent="0.25"/>
  <cols>
    <col min="2" max="2" width="20.28515625" bestFit="1" customWidth="1"/>
    <col min="3" max="3" width="69" bestFit="1" customWidth="1"/>
    <col min="4" max="4" width="28.28515625" bestFit="1" customWidth="1"/>
    <col min="6" max="6" width="19.28515625" bestFit="1" customWidth="1"/>
    <col min="11" max="11" width="58" customWidth="1"/>
  </cols>
  <sheetData>
    <row r="1" spans="1:11" x14ac:dyDescent="0.25">
      <c r="A1" s="4" t="s">
        <v>13</v>
      </c>
      <c r="B1" s="4" t="s">
        <v>0</v>
      </c>
      <c r="C1" s="4" t="s">
        <v>2</v>
      </c>
      <c r="D1" s="4" t="s">
        <v>1</v>
      </c>
      <c r="E1" s="4" t="s">
        <v>58</v>
      </c>
      <c r="F1" s="4" t="s">
        <v>53</v>
      </c>
      <c r="G1" s="4" t="s">
        <v>66</v>
      </c>
      <c r="H1" s="4" t="s">
        <v>44</v>
      </c>
      <c r="I1" s="4" t="s">
        <v>70</v>
      </c>
      <c r="J1" s="4" t="s">
        <v>82</v>
      </c>
      <c r="K1" s="4" t="s">
        <v>74</v>
      </c>
    </row>
    <row r="2" spans="1:11" ht="30" x14ac:dyDescent="0.25">
      <c r="A2" s="2"/>
      <c r="B2" s="2" t="s">
        <v>83</v>
      </c>
      <c r="C2" s="2" t="s">
        <v>85</v>
      </c>
      <c r="D2" s="2" t="s">
        <v>98</v>
      </c>
      <c r="E2" s="2"/>
      <c r="F2" s="2" t="s">
        <v>97</v>
      </c>
      <c r="G2" s="2"/>
      <c r="H2" s="2"/>
      <c r="I2" s="2"/>
      <c r="J2" s="2"/>
      <c r="K2" s="10" t="s">
        <v>92</v>
      </c>
    </row>
    <row r="3" spans="1:11" ht="90" x14ac:dyDescent="0.25">
      <c r="A3" s="2"/>
      <c r="B3" s="2" t="s">
        <v>87</v>
      </c>
      <c r="C3" s="2" t="s">
        <v>85</v>
      </c>
      <c r="D3" s="2" t="s">
        <v>98</v>
      </c>
      <c r="E3" s="2" t="s">
        <v>95</v>
      </c>
      <c r="F3" s="2" t="s">
        <v>96</v>
      </c>
      <c r="G3" s="2"/>
      <c r="H3" s="2"/>
      <c r="I3" s="2"/>
      <c r="J3" s="2"/>
      <c r="K3" s="9" t="s">
        <v>91</v>
      </c>
    </row>
    <row r="4" spans="1:11" ht="105" x14ac:dyDescent="0.25">
      <c r="A4" s="6"/>
      <c r="B4" s="6" t="s">
        <v>86</v>
      </c>
      <c r="C4" s="5" t="s">
        <v>88</v>
      </c>
      <c r="D4" s="2" t="s">
        <v>98</v>
      </c>
      <c r="E4" s="5"/>
      <c r="F4" s="2" t="s">
        <v>93</v>
      </c>
      <c r="G4" s="2"/>
      <c r="H4" s="2"/>
      <c r="I4" s="2"/>
      <c r="J4" s="2"/>
      <c r="K4" s="9" t="s">
        <v>99</v>
      </c>
    </row>
    <row r="5" spans="1:11" ht="30" x14ac:dyDescent="0.25">
      <c r="A5" s="7"/>
      <c r="B5" s="8" t="s">
        <v>49</v>
      </c>
      <c r="C5" s="8" t="s">
        <v>89</v>
      </c>
      <c r="D5" s="2" t="s">
        <v>98</v>
      </c>
      <c r="E5" s="8"/>
      <c r="F5" s="2" t="s">
        <v>94</v>
      </c>
      <c r="G5" s="2"/>
      <c r="H5" s="2"/>
      <c r="I5" s="2"/>
      <c r="J5" s="2"/>
      <c r="K5" s="10" t="s">
        <v>90</v>
      </c>
    </row>
    <row r="6" spans="1:11" x14ac:dyDescent="0.25">
      <c r="A6" s="2"/>
      <c r="B6" s="2" t="s">
        <v>84</v>
      </c>
      <c r="C6" s="2"/>
      <c r="D6" s="2" t="s">
        <v>98</v>
      </c>
      <c r="E6" s="2"/>
      <c r="F6" s="2" t="s">
        <v>93</v>
      </c>
      <c r="G6" s="2"/>
      <c r="H6" s="2"/>
      <c r="I6" s="2"/>
      <c r="J6" s="2"/>
      <c r="K6" s="2"/>
    </row>
    <row r="10" spans="1:11" x14ac:dyDescent="0.25">
      <c r="A10" s="20" t="s">
        <v>147</v>
      </c>
      <c r="B10" s="20" t="s">
        <v>0</v>
      </c>
      <c r="C10" s="20" t="s">
        <v>4</v>
      </c>
      <c r="D10" s="20" t="s">
        <v>148</v>
      </c>
    </row>
    <row r="11" spans="1:11" x14ac:dyDescent="0.25">
      <c r="A11" s="20" t="s">
        <v>142</v>
      </c>
      <c r="B11" s="20" t="s">
        <v>136</v>
      </c>
      <c r="C11" s="20" t="s">
        <v>149</v>
      </c>
      <c r="D11" s="20" t="s">
        <v>150</v>
      </c>
    </row>
    <row r="12" spans="1:11" x14ac:dyDescent="0.25">
      <c r="A12" s="20" t="s">
        <v>141</v>
      </c>
      <c r="B12" s="21" t="s">
        <v>133</v>
      </c>
      <c r="C12" s="20" t="s">
        <v>151</v>
      </c>
      <c r="D12" s="20" t="s">
        <v>152</v>
      </c>
    </row>
    <row r="13" spans="1:11" x14ac:dyDescent="0.25">
      <c r="A13" s="20" t="s">
        <v>140</v>
      </c>
      <c r="B13" s="21" t="s">
        <v>144</v>
      </c>
      <c r="C13" s="20" t="s">
        <v>153</v>
      </c>
      <c r="D13" s="20" t="s">
        <v>152</v>
      </c>
    </row>
    <row r="14" spans="1:11" x14ac:dyDescent="0.25">
      <c r="A14" s="20" t="s">
        <v>140</v>
      </c>
      <c r="B14" s="20" t="s">
        <v>134</v>
      </c>
      <c r="C14" s="20"/>
      <c r="D14" s="20" t="s">
        <v>154</v>
      </c>
    </row>
    <row r="15" spans="1:11" x14ac:dyDescent="0.25">
      <c r="A15" s="20" t="s">
        <v>143</v>
      </c>
      <c r="B15" s="21" t="s">
        <v>102</v>
      </c>
      <c r="C15" s="20" t="s">
        <v>155</v>
      </c>
      <c r="D15" s="20" t="s">
        <v>152</v>
      </c>
    </row>
    <row r="16" spans="1:11" x14ac:dyDescent="0.25">
      <c r="A16" s="20" t="s">
        <v>140</v>
      </c>
      <c r="B16" s="20" t="s">
        <v>135</v>
      </c>
      <c r="C16" s="20" t="s">
        <v>156</v>
      </c>
      <c r="D16" s="20"/>
    </row>
    <row r="17" spans="1:4" x14ac:dyDescent="0.25">
      <c r="A17" s="20" t="s">
        <v>140</v>
      </c>
      <c r="B17" s="20" t="s">
        <v>137</v>
      </c>
      <c r="C17" s="20" t="s">
        <v>146</v>
      </c>
      <c r="D17" s="20" t="s">
        <v>145</v>
      </c>
    </row>
    <row r="18" spans="1:4" x14ac:dyDescent="0.25">
      <c r="A18" s="20"/>
      <c r="B18" s="20" t="s">
        <v>138</v>
      </c>
      <c r="C18" s="20" t="s">
        <v>157</v>
      </c>
      <c r="D18" s="20" t="s">
        <v>139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Working Teams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Selicos .</dc:creator>
  <cp:lastModifiedBy>Selicos .</cp:lastModifiedBy>
  <dcterms:created xsi:type="dcterms:W3CDTF">2025-11-19T19:13:29Z</dcterms:created>
  <dcterms:modified xsi:type="dcterms:W3CDTF">2025-11-27T02:43:24Z</dcterms:modified>
</cp:coreProperties>
</file>